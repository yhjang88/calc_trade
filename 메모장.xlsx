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X3GAMES\Downloads\"/>
    </mc:Choice>
  </mc:AlternateContent>
  <xr:revisionPtr revIDLastSave="0" documentId="13_ncr:1_{F4AA7427-7B4D-448A-A06A-1790BA6DFAD3}" xr6:coauthVersionLast="47" xr6:coauthVersionMax="47" xr10:uidLastSave="{00000000-0000-0000-0000-000000000000}"/>
  <bookViews>
    <workbookView xWindow="8415" yWindow="4500" windowWidth="28800" windowHeight="15345" xr2:uid="{00000000-000D-0000-FFFF-FFFF00000000}"/>
  </bookViews>
  <sheets>
    <sheet name="데이터" sheetId="8" r:id="rId1"/>
    <sheet name="위대한 항로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9" l="1"/>
  <c r="M21" i="9"/>
  <c r="L21" i="9"/>
  <c r="K21" i="9"/>
  <c r="J21" i="9"/>
  <c r="I21" i="9"/>
  <c r="H21" i="9"/>
  <c r="G21" i="9"/>
  <c r="F21" i="9"/>
  <c r="E21" i="9"/>
  <c r="D21" i="9"/>
  <c r="C21" i="9"/>
  <c r="N20" i="9"/>
  <c r="M20" i="9"/>
  <c r="L20" i="9"/>
  <c r="K20" i="9"/>
  <c r="J20" i="9"/>
  <c r="I20" i="9"/>
  <c r="H20" i="9"/>
  <c r="G20" i="9"/>
  <c r="F20" i="9"/>
  <c r="E20" i="9"/>
  <c r="D20" i="9"/>
  <c r="C20" i="9"/>
  <c r="N19" i="9"/>
  <c r="M19" i="9"/>
  <c r="L19" i="9"/>
  <c r="K19" i="9"/>
  <c r="J19" i="9"/>
  <c r="I19" i="9"/>
  <c r="H19" i="9"/>
  <c r="G19" i="9"/>
  <c r="F19" i="9"/>
  <c r="E19" i="9"/>
  <c r="D19" i="9"/>
  <c r="C19" i="9"/>
  <c r="N18" i="9"/>
  <c r="M18" i="9"/>
  <c r="L18" i="9"/>
  <c r="K18" i="9"/>
  <c r="J18" i="9"/>
  <c r="I18" i="9"/>
  <c r="H18" i="9"/>
  <c r="G18" i="9"/>
  <c r="F18" i="9"/>
  <c r="E18" i="9"/>
  <c r="D18" i="9"/>
  <c r="C18" i="9"/>
  <c r="N17" i="9"/>
  <c r="M17" i="9"/>
  <c r="L17" i="9"/>
  <c r="K17" i="9"/>
  <c r="J17" i="9"/>
  <c r="I17" i="9"/>
  <c r="H17" i="9"/>
  <c r="G17" i="9"/>
  <c r="F17" i="9"/>
  <c r="E17" i="9"/>
  <c r="D17" i="9"/>
  <c r="C17" i="9"/>
  <c r="N16" i="9"/>
  <c r="M16" i="9"/>
  <c r="L16" i="9"/>
  <c r="K16" i="9"/>
  <c r="J16" i="9"/>
  <c r="I16" i="9"/>
  <c r="H16" i="9"/>
  <c r="G16" i="9"/>
  <c r="F16" i="9"/>
  <c r="E16" i="9"/>
  <c r="D16" i="9"/>
  <c r="C16" i="9"/>
  <c r="N15" i="9"/>
  <c r="M15" i="9"/>
  <c r="L15" i="9"/>
  <c r="K15" i="9"/>
  <c r="J15" i="9"/>
  <c r="I15" i="9"/>
  <c r="H15" i="9"/>
  <c r="G15" i="9"/>
  <c r="F15" i="9"/>
  <c r="E15" i="9"/>
  <c r="D15" i="9"/>
  <c r="C15" i="9"/>
  <c r="N14" i="9"/>
  <c r="M14" i="9"/>
  <c r="L14" i="9"/>
  <c r="K14" i="9"/>
  <c r="J14" i="9"/>
  <c r="I14" i="9"/>
  <c r="H14" i="9"/>
  <c r="G14" i="9"/>
  <c r="F14" i="9"/>
  <c r="E14" i="9"/>
  <c r="D14" i="9"/>
  <c r="C14" i="9"/>
  <c r="N13" i="9"/>
  <c r="M13" i="9"/>
  <c r="L13" i="9"/>
  <c r="K13" i="9"/>
  <c r="J13" i="9"/>
  <c r="I13" i="9"/>
  <c r="H13" i="9"/>
  <c r="G13" i="9"/>
  <c r="F13" i="9"/>
  <c r="E13" i="9"/>
  <c r="D13" i="9"/>
  <c r="C13" i="9"/>
  <c r="N12" i="9"/>
  <c r="M12" i="9"/>
  <c r="L12" i="9"/>
  <c r="K12" i="9"/>
  <c r="J12" i="9"/>
  <c r="I12" i="9"/>
  <c r="H12" i="9"/>
  <c r="G12" i="9"/>
  <c r="F12" i="9"/>
  <c r="E12" i="9"/>
  <c r="D12" i="9"/>
  <c r="C12" i="9"/>
  <c r="N11" i="9"/>
  <c r="M11" i="9"/>
  <c r="L11" i="9"/>
  <c r="K11" i="9"/>
  <c r="J11" i="9"/>
  <c r="I11" i="9"/>
  <c r="H11" i="9"/>
  <c r="G11" i="9"/>
  <c r="F11" i="9"/>
  <c r="E11" i="9"/>
  <c r="D11" i="9"/>
  <c r="C11" i="9"/>
  <c r="N10" i="9"/>
  <c r="M10" i="9"/>
  <c r="L10" i="9"/>
  <c r="K10" i="9"/>
  <c r="J10" i="9"/>
  <c r="I10" i="9"/>
  <c r="H10" i="9"/>
  <c r="G10" i="9"/>
  <c r="F10" i="9"/>
  <c r="E10" i="9"/>
  <c r="D10" i="9"/>
  <c r="C10" i="9"/>
  <c r="N9" i="9"/>
  <c r="M9" i="9"/>
  <c r="L9" i="9"/>
  <c r="K9" i="9"/>
  <c r="J9" i="9"/>
  <c r="I9" i="9"/>
  <c r="H9" i="9"/>
  <c r="G9" i="9"/>
  <c r="F9" i="9"/>
  <c r="E9" i="9"/>
  <c r="D9" i="9"/>
  <c r="C9" i="9"/>
  <c r="N8" i="9"/>
  <c r="M8" i="9"/>
  <c r="L8" i="9"/>
  <c r="K8" i="9"/>
  <c r="J8" i="9"/>
  <c r="I8" i="9"/>
  <c r="H8" i="9"/>
  <c r="G8" i="9"/>
  <c r="F8" i="9"/>
  <c r="E8" i="9"/>
  <c r="D8" i="9"/>
  <c r="C8" i="9"/>
  <c r="N7" i="9"/>
  <c r="M7" i="9"/>
  <c r="L7" i="9"/>
  <c r="K7" i="9"/>
  <c r="J7" i="9"/>
  <c r="I7" i="9"/>
  <c r="H7" i="9"/>
  <c r="G7" i="9"/>
  <c r="F7" i="9"/>
  <c r="E7" i="9"/>
  <c r="D7" i="9"/>
  <c r="C7" i="9"/>
  <c r="N6" i="9"/>
  <c r="M6" i="9"/>
  <c r="L6" i="9"/>
  <c r="K6" i="9"/>
  <c r="J6" i="9"/>
  <c r="I6" i="9"/>
  <c r="H6" i="9"/>
  <c r="G6" i="9"/>
  <c r="F6" i="9"/>
  <c r="E6" i="9"/>
  <c r="D6" i="9"/>
  <c r="C6" i="9"/>
  <c r="N5" i="9"/>
  <c r="M5" i="9"/>
  <c r="L5" i="9"/>
  <c r="K5" i="9"/>
  <c r="J5" i="9"/>
  <c r="I5" i="9"/>
  <c r="H5" i="9"/>
  <c r="G5" i="9"/>
  <c r="F5" i="9"/>
  <c r="E5" i="9"/>
  <c r="D5" i="9"/>
  <c r="C5" i="9"/>
  <c r="N4" i="9"/>
  <c r="M4" i="9"/>
  <c r="L4" i="9"/>
  <c r="K4" i="9"/>
  <c r="J4" i="9"/>
  <c r="I4" i="9"/>
  <c r="H4" i="9"/>
  <c r="G4" i="9"/>
  <c r="F4" i="9"/>
  <c r="E4" i="9"/>
  <c r="D4" i="9"/>
  <c r="C4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<sst xmlns="http://schemas.openxmlformats.org/spreadsheetml/2006/main" count="629" uniqueCount="58">
  <si>
    <t>비단</t>
  </si>
  <si>
    <t>항구</t>
  </si>
  <si>
    <t>화물</t>
  </si>
  <si>
    <t>가격</t>
  </si>
  <si>
    <t>폭등</t>
  </si>
  <si>
    <t>수익률</t>
  </si>
  <si>
    <t>개경</t>
  </si>
  <si>
    <t>녹용</t>
  </si>
  <si>
    <t>피혁</t>
  </si>
  <si>
    <t>녹차</t>
  </si>
  <si>
    <t>파인애플</t>
  </si>
  <si>
    <t>제비집</t>
  </si>
  <si>
    <t>옥 제품</t>
  </si>
  <si>
    <t>꽃게</t>
  </si>
  <si>
    <t>목재</t>
  </si>
  <si>
    <t>진주</t>
  </si>
  <si>
    <t>백은</t>
  </si>
  <si>
    <t>벼</t>
  </si>
  <si>
    <t>수정</t>
  </si>
  <si>
    <t>철광석</t>
  </si>
  <si>
    <t>술</t>
  </si>
  <si>
    <t>향료</t>
  </si>
  <si>
    <t>야자</t>
  </si>
  <si>
    <t>상아</t>
  </si>
  <si>
    <t>도자기</t>
  </si>
  <si>
    <t>광주</t>
  </si>
  <si>
    <t>어육</t>
  </si>
  <si>
    <t>담수</t>
  </si>
  <si>
    <t>대식국</t>
  </si>
  <si>
    <t>말레이</t>
  </si>
  <si>
    <t>명주</t>
  </si>
  <si>
    <t>미스르</t>
  </si>
  <si>
    <t>바스라</t>
  </si>
  <si>
    <t>버마</t>
  </si>
  <si>
    <t>브루나이</t>
  </si>
  <si>
    <t>섬라국</t>
  </si>
  <si>
    <t>술루</t>
  </si>
  <si>
    <t>스리비자야</t>
  </si>
  <si>
    <t>실론</t>
  </si>
  <si>
    <t>안남</t>
  </si>
  <si>
    <t>천주</t>
  </si>
  <si>
    <t>천축</t>
  </si>
  <si>
    <t>크메르</t>
  </si>
  <si>
    <t>페르시아</t>
  </si>
  <si>
    <t>평경</t>
  </si>
  <si>
    <t>특산품</t>
  </si>
  <si>
    <t>1순위</t>
  </si>
  <si>
    <t>1순위 수익률</t>
  </si>
  <si>
    <t>2순위</t>
  </si>
  <si>
    <t>2순위 수익률</t>
  </si>
  <si>
    <t>3순위</t>
  </si>
  <si>
    <t>3순위 수익률</t>
  </si>
  <si>
    <t>4순위</t>
  </si>
  <si>
    <t>4순위 수익률</t>
  </si>
  <si>
    <t>5순위</t>
  </si>
  <si>
    <t>5순위 수익률</t>
  </si>
  <si>
    <t>6순위</t>
  </si>
  <si>
    <t>6순위 수익률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</si>
</sst>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</fills>
  <borders count="1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  <xf numFmtId="10" fontId="1" fillId="0" borderId="1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112"/>
  <sheetViews>
    <sheetView tabSelected="1" workbookViewId="0"/>
  </sheetViews>
  <sheetFormatPr defaultColWidth="12.5703125" defaultRowHeight="15.75" customHeight="1" x14ac:dyDescent="0.2"/>
  <sheetData>
    <row r="1" spans="1:25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" t="s">
        <v>6</v>
      </c>
      <c r="B2" s="3" t="s">
        <v>7</v>
      </c>
      <c r="C2" s="5">
        <v>829</v>
      </c>
      <c r="D2" s="5">
        <v>1136</v>
      </c>
      <c r="E2" s="6">
        <f t="shared" ref="E2:E256" si="0">(D2-C2)/C2</f>
        <v>0.3703256936067551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4" t="s">
        <v>6</v>
      </c>
      <c r="B3" s="3" t="s">
        <v>8</v>
      </c>
      <c r="C3" s="5">
        <v>292</v>
      </c>
      <c r="D3" s="5">
        <v>349</v>
      </c>
      <c r="E3" s="6">
        <f t="shared" si="0"/>
        <v>0.1952054794520548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4" t="s">
        <v>6</v>
      </c>
      <c r="B4" s="3" t="s">
        <v>9</v>
      </c>
      <c r="C4" s="5">
        <v>195</v>
      </c>
      <c r="D4" s="5">
        <v>239</v>
      </c>
      <c r="E4" s="6">
        <f t="shared" si="0"/>
        <v>0.22564102564102564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4" t="s">
        <v>6</v>
      </c>
      <c r="B5" s="3" t="s">
        <v>10</v>
      </c>
      <c r="C5" s="5">
        <v>106</v>
      </c>
      <c r="D5" s="5">
        <v>113</v>
      </c>
      <c r="E5" s="6">
        <f t="shared" si="0"/>
        <v>6.6037735849056603E-2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4" t="s">
        <v>6</v>
      </c>
      <c r="B6" s="3" t="s">
        <v>11</v>
      </c>
      <c r="C6" s="5">
        <v>503</v>
      </c>
      <c r="D6" s="5">
        <v>556</v>
      </c>
      <c r="E6" s="6">
        <f t="shared" si="0"/>
        <v>0.10536779324055666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4" t="s">
        <v>6</v>
      </c>
      <c r="B7" s="3" t="s">
        <v>12</v>
      </c>
      <c r="C7" s="5">
        <v>292</v>
      </c>
      <c r="D7" s="5">
        <v>337</v>
      </c>
      <c r="E7" s="6">
        <f t="shared" si="0"/>
        <v>0.1541095890410959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4" t="s">
        <v>6</v>
      </c>
      <c r="B8" s="3" t="s">
        <v>13</v>
      </c>
      <c r="C8" s="5">
        <v>181</v>
      </c>
      <c r="D8" s="5">
        <v>225</v>
      </c>
      <c r="E8" s="6">
        <f t="shared" si="0"/>
        <v>0.24309392265193369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4" t="s">
        <v>6</v>
      </c>
      <c r="B9" s="3" t="s">
        <v>14</v>
      </c>
      <c r="C9" s="5">
        <v>91</v>
      </c>
      <c r="D9" s="5">
        <v>118</v>
      </c>
      <c r="E9" s="6">
        <f t="shared" si="0"/>
        <v>0.2967032967032967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4" t="s">
        <v>6</v>
      </c>
      <c r="B10" s="3" t="s">
        <v>15</v>
      </c>
      <c r="C10" s="5">
        <v>455</v>
      </c>
      <c r="D10" s="5">
        <v>578</v>
      </c>
      <c r="E10" s="6">
        <f t="shared" si="0"/>
        <v>0.27032967032967031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4" t="s">
        <v>6</v>
      </c>
      <c r="B11" s="3" t="s">
        <v>16</v>
      </c>
      <c r="C11" s="5">
        <v>275</v>
      </c>
      <c r="D11" s="5">
        <v>344</v>
      </c>
      <c r="E11" s="6">
        <f t="shared" si="0"/>
        <v>0.25090909090909091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4" t="s">
        <v>6</v>
      </c>
      <c r="B12" s="3" t="s">
        <v>17</v>
      </c>
      <c r="C12" s="5">
        <v>93</v>
      </c>
      <c r="D12" s="5">
        <v>113</v>
      </c>
      <c r="E12" s="6">
        <f t="shared" si="0"/>
        <v>0.21505376344086022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s="4" t="s">
        <v>6</v>
      </c>
      <c r="B13" s="3" t="s">
        <v>18</v>
      </c>
      <c r="C13" s="5">
        <v>191</v>
      </c>
      <c r="D13" s="5">
        <v>220</v>
      </c>
      <c r="E13" s="6">
        <f t="shared" si="0"/>
        <v>0.15183246073298429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4" t="s">
        <v>6</v>
      </c>
      <c r="B14" s="3" t="s">
        <v>19</v>
      </c>
      <c r="C14" s="5">
        <v>199</v>
      </c>
      <c r="D14" s="5">
        <v>221</v>
      </c>
      <c r="E14" s="6">
        <f t="shared" si="0"/>
        <v>0.11055276381909548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A15" s="4" t="s">
        <v>6</v>
      </c>
      <c r="B15" s="3" t="s">
        <v>20</v>
      </c>
      <c r="C15" s="5">
        <v>100</v>
      </c>
      <c r="D15" s="5">
        <v>111</v>
      </c>
      <c r="E15" s="6">
        <f t="shared" si="0"/>
        <v>0.11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s="4" t="s">
        <v>6</v>
      </c>
      <c r="B16" s="3" t="s">
        <v>21</v>
      </c>
      <c r="C16" s="5">
        <v>311</v>
      </c>
      <c r="D16" s="5">
        <v>354</v>
      </c>
      <c r="E16" s="6">
        <f t="shared" si="0"/>
        <v>0.13826366559485531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s="4" t="s">
        <v>6</v>
      </c>
      <c r="B17" s="3" t="s">
        <v>22</v>
      </c>
      <c r="C17" s="5">
        <v>104</v>
      </c>
      <c r="D17" s="5">
        <v>120</v>
      </c>
      <c r="E17" s="6">
        <f t="shared" si="0"/>
        <v>0.15384615384615385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4" t="s">
        <v>6</v>
      </c>
      <c r="B18" s="3" t="s">
        <v>0</v>
      </c>
      <c r="C18" s="5">
        <v>211</v>
      </c>
      <c r="D18" s="5">
        <v>233</v>
      </c>
      <c r="E18" s="6">
        <f t="shared" si="0"/>
        <v>0.10426540284360189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4" t="s">
        <v>6</v>
      </c>
      <c r="B19" s="3" t="s">
        <v>23</v>
      </c>
      <c r="C19" s="5">
        <v>1072</v>
      </c>
      <c r="D19" s="5">
        <v>1193</v>
      </c>
      <c r="E19" s="6">
        <f t="shared" si="0"/>
        <v>0.11287313432835822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s="4" t="s">
        <v>6</v>
      </c>
      <c r="B20" s="3" t="s">
        <v>24</v>
      </c>
      <c r="C20" s="5">
        <v>544</v>
      </c>
      <c r="D20" s="5">
        <v>581</v>
      </c>
      <c r="E20" s="6">
        <f t="shared" si="0"/>
        <v>6.8014705882352935E-2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3" t="s">
        <v>25</v>
      </c>
      <c r="B21" s="3" t="s">
        <v>0</v>
      </c>
      <c r="C21" s="5">
        <v>161</v>
      </c>
      <c r="D21" s="5">
        <v>233</v>
      </c>
      <c r="E21" s="6">
        <f t="shared" si="0"/>
        <v>0.44720496894409939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s="3" t="s">
        <v>25</v>
      </c>
      <c r="B22" s="3" t="s">
        <v>10</v>
      </c>
      <c r="C22" s="5">
        <v>100</v>
      </c>
      <c r="D22" s="5">
        <v>113</v>
      </c>
      <c r="E22" s="6">
        <f t="shared" si="0"/>
        <v>0.13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3" t="s">
        <v>25</v>
      </c>
      <c r="B23" s="3" t="s">
        <v>7</v>
      </c>
      <c r="C23" s="5">
        <v>1062</v>
      </c>
      <c r="D23" s="5">
        <v>1136</v>
      </c>
      <c r="E23" s="6">
        <f t="shared" si="0"/>
        <v>6.9679849340866296E-2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s="3" t="s">
        <v>25</v>
      </c>
      <c r="B24" s="3" t="s">
        <v>16</v>
      </c>
      <c r="C24" s="5">
        <v>317</v>
      </c>
      <c r="D24" s="5">
        <v>344</v>
      </c>
      <c r="E24" s="6">
        <f t="shared" si="0"/>
        <v>8.5173501577287064E-2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3" t="s">
        <v>25</v>
      </c>
      <c r="B25" s="3" t="s">
        <v>26</v>
      </c>
      <c r="C25" s="5">
        <v>91</v>
      </c>
      <c r="D25" s="5">
        <v>116</v>
      </c>
      <c r="E25" s="6">
        <f t="shared" si="0"/>
        <v>0.27472527472527475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3" t="s">
        <v>25</v>
      </c>
      <c r="B26" s="3" t="s">
        <v>9</v>
      </c>
      <c r="C26" s="5">
        <v>182</v>
      </c>
      <c r="D26" s="5">
        <v>239</v>
      </c>
      <c r="E26" s="6">
        <f t="shared" si="0"/>
        <v>0.31318681318681318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3" t="s">
        <v>25</v>
      </c>
      <c r="B27" s="3" t="s">
        <v>18</v>
      </c>
      <c r="C27" s="5">
        <v>183</v>
      </c>
      <c r="D27" s="5">
        <v>220</v>
      </c>
      <c r="E27" s="6">
        <f t="shared" si="0"/>
        <v>0.20218579234972678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3" t="s">
        <v>25</v>
      </c>
      <c r="B28" s="3" t="s">
        <v>22</v>
      </c>
      <c r="C28" s="5">
        <v>93</v>
      </c>
      <c r="D28" s="5">
        <v>120</v>
      </c>
      <c r="E28" s="6">
        <f t="shared" si="0"/>
        <v>0.29032258064516131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3" t="s">
        <v>25</v>
      </c>
      <c r="B29" s="3" t="s">
        <v>20</v>
      </c>
      <c r="C29" s="5">
        <v>94</v>
      </c>
      <c r="D29" s="5">
        <v>111</v>
      </c>
      <c r="E29" s="6">
        <f t="shared" si="0"/>
        <v>0.18085106382978725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3" t="s">
        <v>25</v>
      </c>
      <c r="B30" s="3" t="s">
        <v>13</v>
      </c>
      <c r="C30" s="5">
        <v>191</v>
      </c>
      <c r="D30" s="5">
        <v>225</v>
      </c>
      <c r="E30" s="6">
        <f t="shared" si="0"/>
        <v>0.17801047120418848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3" t="s">
        <v>25</v>
      </c>
      <c r="B31" s="3" t="s">
        <v>12</v>
      </c>
      <c r="C31" s="5">
        <v>289</v>
      </c>
      <c r="D31" s="5">
        <v>337</v>
      </c>
      <c r="E31" s="6">
        <f t="shared" si="0"/>
        <v>0.16608996539792387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3" t="s">
        <v>25</v>
      </c>
      <c r="B32" s="3" t="s">
        <v>19</v>
      </c>
      <c r="C32" s="5">
        <v>193</v>
      </c>
      <c r="D32" s="5">
        <v>221</v>
      </c>
      <c r="E32" s="6">
        <f t="shared" si="0"/>
        <v>0.14507772020725387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3" t="s">
        <v>25</v>
      </c>
      <c r="B33" s="3" t="s">
        <v>23</v>
      </c>
      <c r="C33" s="5">
        <v>979</v>
      </c>
      <c r="D33" s="5">
        <v>1193</v>
      </c>
      <c r="E33" s="6">
        <f t="shared" si="0"/>
        <v>0.21859039836567926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3" t="s">
        <v>25</v>
      </c>
      <c r="B34" s="3" t="s">
        <v>14</v>
      </c>
      <c r="C34" s="5">
        <v>98</v>
      </c>
      <c r="D34" s="5">
        <v>118</v>
      </c>
      <c r="E34" s="6">
        <f t="shared" si="0"/>
        <v>0.20408163265306123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3" t="s">
        <v>25</v>
      </c>
      <c r="B35" s="3" t="s">
        <v>24</v>
      </c>
      <c r="C35" s="5">
        <v>491</v>
      </c>
      <c r="D35" s="5">
        <v>581</v>
      </c>
      <c r="E35" s="6">
        <f t="shared" si="0"/>
        <v>0.18329938900203666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3" t="s">
        <v>25</v>
      </c>
      <c r="B36" s="3" t="s">
        <v>21</v>
      </c>
      <c r="C36" s="5">
        <v>296</v>
      </c>
      <c r="D36" s="5">
        <v>354</v>
      </c>
      <c r="E36" s="6">
        <f t="shared" si="0"/>
        <v>0.19594594594594594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3" t="s">
        <v>25</v>
      </c>
      <c r="B37" s="3" t="s">
        <v>17</v>
      </c>
      <c r="C37" s="5">
        <v>102</v>
      </c>
      <c r="D37" s="5">
        <v>113</v>
      </c>
      <c r="E37" s="6">
        <f t="shared" si="0"/>
        <v>0.10784313725490197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3" t="s">
        <v>25</v>
      </c>
      <c r="B38" s="3" t="s">
        <v>11</v>
      </c>
      <c r="C38" s="5">
        <v>548</v>
      </c>
      <c r="D38" s="5">
        <v>556</v>
      </c>
      <c r="E38" s="6">
        <f t="shared" si="0"/>
        <v>1.4598540145985401E-2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3" t="s">
        <v>25</v>
      </c>
      <c r="B39" s="3" t="s">
        <v>8</v>
      </c>
      <c r="C39" s="5">
        <v>320</v>
      </c>
      <c r="D39" s="5">
        <v>349</v>
      </c>
      <c r="E39" s="6">
        <f t="shared" si="0"/>
        <v>9.0624999999999997E-2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4" t="s">
        <v>27</v>
      </c>
      <c r="B40" s="3" t="s">
        <v>15</v>
      </c>
      <c r="C40" s="5">
        <v>433</v>
      </c>
      <c r="D40" s="5">
        <v>578</v>
      </c>
      <c r="E40" s="6">
        <f t="shared" si="0"/>
        <v>0.3348729792147806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4" t="s">
        <v>27</v>
      </c>
      <c r="B41" s="3" t="s">
        <v>24</v>
      </c>
      <c r="C41" s="5">
        <v>503</v>
      </c>
      <c r="D41" s="5">
        <v>581</v>
      </c>
      <c r="E41" s="6">
        <f t="shared" si="0"/>
        <v>0.15506958250497019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4" t="s">
        <v>27</v>
      </c>
      <c r="B42" s="3" t="s">
        <v>16</v>
      </c>
      <c r="C42" s="5">
        <v>306</v>
      </c>
      <c r="D42" s="5">
        <v>344</v>
      </c>
      <c r="E42" s="6">
        <f t="shared" si="0"/>
        <v>0.12418300653594772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4" t="s">
        <v>27</v>
      </c>
      <c r="B43" s="3" t="s">
        <v>22</v>
      </c>
      <c r="C43" s="5">
        <v>104</v>
      </c>
      <c r="D43" s="5">
        <v>120</v>
      </c>
      <c r="E43" s="6">
        <f t="shared" si="0"/>
        <v>0.15384615384615385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4" t="s">
        <v>27</v>
      </c>
      <c r="B44" s="3" t="s">
        <v>0</v>
      </c>
      <c r="C44" s="5">
        <v>202</v>
      </c>
      <c r="D44" s="5">
        <v>233</v>
      </c>
      <c r="E44" s="6">
        <f t="shared" si="0"/>
        <v>0.15346534653465346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4" t="s">
        <v>27</v>
      </c>
      <c r="B45" s="3" t="s">
        <v>14</v>
      </c>
      <c r="C45" s="5">
        <v>95</v>
      </c>
      <c r="D45" s="5">
        <v>118</v>
      </c>
      <c r="E45" s="6">
        <f t="shared" si="0"/>
        <v>0.24210526315789474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4" t="s">
        <v>27</v>
      </c>
      <c r="B46" s="3" t="s">
        <v>20</v>
      </c>
      <c r="C46" s="5">
        <v>91</v>
      </c>
      <c r="D46" s="5">
        <v>111</v>
      </c>
      <c r="E46" s="6">
        <f t="shared" si="0"/>
        <v>0.21978021978021978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4" t="s">
        <v>27</v>
      </c>
      <c r="B47" s="3" t="s">
        <v>18</v>
      </c>
      <c r="C47" s="5">
        <v>185</v>
      </c>
      <c r="D47" s="5">
        <v>220</v>
      </c>
      <c r="E47" s="6">
        <f t="shared" si="0"/>
        <v>0.1891891891891892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4" t="s">
        <v>27</v>
      </c>
      <c r="B48" s="3" t="s">
        <v>10</v>
      </c>
      <c r="C48" s="5">
        <v>98</v>
      </c>
      <c r="D48" s="5">
        <v>113</v>
      </c>
      <c r="E48" s="6">
        <f t="shared" si="0"/>
        <v>0.15306122448979592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4" t="s">
        <v>27</v>
      </c>
      <c r="B49" s="3" t="s">
        <v>11</v>
      </c>
      <c r="C49" s="5">
        <v>496</v>
      </c>
      <c r="D49" s="5">
        <v>556</v>
      </c>
      <c r="E49" s="6">
        <f t="shared" si="0"/>
        <v>0.12096774193548387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4" t="s">
        <v>27</v>
      </c>
      <c r="B50" s="3" t="s">
        <v>7</v>
      </c>
      <c r="C50" s="5">
        <v>1012</v>
      </c>
      <c r="D50" s="5">
        <v>1136</v>
      </c>
      <c r="E50" s="6">
        <f t="shared" si="0"/>
        <v>0.1225296442687747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4" t="s">
        <v>27</v>
      </c>
      <c r="B51" s="3" t="s">
        <v>9</v>
      </c>
      <c r="C51" s="5">
        <v>206</v>
      </c>
      <c r="D51" s="5">
        <v>239</v>
      </c>
      <c r="E51" s="6">
        <f t="shared" si="0"/>
        <v>0.16019417475728157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4" t="s">
        <v>27</v>
      </c>
      <c r="B52" s="3" t="s">
        <v>17</v>
      </c>
      <c r="C52" s="5">
        <v>104</v>
      </c>
      <c r="D52" s="5">
        <v>113</v>
      </c>
      <c r="E52" s="6">
        <f t="shared" si="0"/>
        <v>8.6538461538461536E-2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4" t="s">
        <v>27</v>
      </c>
      <c r="B53" s="3" t="s">
        <v>13</v>
      </c>
      <c r="C53" s="5">
        <v>209</v>
      </c>
      <c r="D53" s="5">
        <v>225</v>
      </c>
      <c r="E53" s="6">
        <f t="shared" si="0"/>
        <v>7.6555023923444973E-2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4" t="s">
        <v>27</v>
      </c>
      <c r="B54" s="3" t="s">
        <v>23</v>
      </c>
      <c r="C54" s="5">
        <v>1077</v>
      </c>
      <c r="D54" s="5">
        <v>1193</v>
      </c>
      <c r="E54" s="6">
        <f t="shared" si="0"/>
        <v>0.10770659238625813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4" t="s">
        <v>27</v>
      </c>
      <c r="B55" s="3" t="s">
        <v>26</v>
      </c>
      <c r="C55" s="5">
        <v>108</v>
      </c>
      <c r="D55" s="5">
        <v>116</v>
      </c>
      <c r="E55" s="6">
        <f t="shared" si="0"/>
        <v>7.407407407407407E-2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4" t="s">
        <v>27</v>
      </c>
      <c r="B56" s="3" t="s">
        <v>19</v>
      </c>
      <c r="C56" s="5">
        <v>217</v>
      </c>
      <c r="D56" s="5">
        <v>221</v>
      </c>
      <c r="E56" s="6">
        <f t="shared" si="0"/>
        <v>1.8433179723502304E-2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4" t="s">
        <v>27</v>
      </c>
      <c r="B57" s="3" t="s">
        <v>12</v>
      </c>
      <c r="C57" s="5">
        <v>307</v>
      </c>
      <c r="D57" s="5">
        <v>337</v>
      </c>
      <c r="E57" s="6">
        <f t="shared" si="0"/>
        <v>9.7719869706840393E-2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3" t="s">
        <v>28</v>
      </c>
      <c r="B58" s="3" t="s">
        <v>17</v>
      </c>
      <c r="C58" s="5">
        <v>96</v>
      </c>
      <c r="D58" s="5">
        <v>113</v>
      </c>
      <c r="E58" s="6">
        <f t="shared" si="0"/>
        <v>0.17708333333333334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3" t="s">
        <v>28</v>
      </c>
      <c r="B59" s="3" t="s">
        <v>12</v>
      </c>
      <c r="C59" s="5">
        <v>250</v>
      </c>
      <c r="D59" s="5">
        <v>337</v>
      </c>
      <c r="E59" s="6">
        <f t="shared" si="0"/>
        <v>0.34799999999999998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3" t="s">
        <v>28</v>
      </c>
      <c r="B60" s="3" t="s">
        <v>11</v>
      </c>
      <c r="C60" s="5">
        <v>460</v>
      </c>
      <c r="D60" s="5">
        <v>556</v>
      </c>
      <c r="E60" s="6">
        <f t="shared" si="0"/>
        <v>0.20869565217391303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3" t="s">
        <v>28</v>
      </c>
      <c r="B61" s="3" t="s">
        <v>15</v>
      </c>
      <c r="C61" s="5">
        <v>510</v>
      </c>
      <c r="D61" s="5">
        <v>578</v>
      </c>
      <c r="E61" s="6">
        <f t="shared" si="0"/>
        <v>0.13333333333333333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3" t="s">
        <v>28</v>
      </c>
      <c r="B62" s="3" t="s">
        <v>7</v>
      </c>
      <c r="C62" s="5">
        <v>989</v>
      </c>
      <c r="D62" s="5">
        <v>1136</v>
      </c>
      <c r="E62" s="6">
        <f t="shared" si="0"/>
        <v>0.14863498483316481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3" t="s">
        <v>28</v>
      </c>
      <c r="B63" s="3" t="s">
        <v>24</v>
      </c>
      <c r="C63" s="5">
        <v>498</v>
      </c>
      <c r="D63" s="5">
        <v>581</v>
      </c>
      <c r="E63" s="6">
        <f t="shared" si="0"/>
        <v>0.16666666666666666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3" t="s">
        <v>28</v>
      </c>
      <c r="B64" s="3" t="s">
        <v>20</v>
      </c>
      <c r="C64" s="5">
        <v>94</v>
      </c>
      <c r="D64" s="5">
        <v>111</v>
      </c>
      <c r="E64" s="6">
        <f t="shared" si="0"/>
        <v>0.18085106382978725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3" t="s">
        <v>28</v>
      </c>
      <c r="B65" s="3" t="s">
        <v>26</v>
      </c>
      <c r="C65" s="5">
        <v>91</v>
      </c>
      <c r="D65" s="5">
        <v>116</v>
      </c>
      <c r="E65" s="6">
        <f t="shared" si="0"/>
        <v>0.27472527472527475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3" t="s">
        <v>28</v>
      </c>
      <c r="B66" s="3" t="s">
        <v>23</v>
      </c>
      <c r="C66" s="5">
        <v>1053</v>
      </c>
      <c r="D66" s="5">
        <v>1193</v>
      </c>
      <c r="E66" s="6">
        <f t="shared" si="0"/>
        <v>0.13295346628679963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3" t="s">
        <v>28</v>
      </c>
      <c r="B67" s="3" t="s">
        <v>14</v>
      </c>
      <c r="C67" s="5">
        <v>94</v>
      </c>
      <c r="D67" s="5">
        <v>118</v>
      </c>
      <c r="E67" s="6">
        <f t="shared" si="0"/>
        <v>0.25531914893617019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3" t="s">
        <v>28</v>
      </c>
      <c r="B68" s="3" t="s">
        <v>16</v>
      </c>
      <c r="C68" s="5">
        <v>282</v>
      </c>
      <c r="D68" s="5">
        <v>344</v>
      </c>
      <c r="E68" s="6">
        <f t="shared" si="0"/>
        <v>0.21985815602836881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3" t="s">
        <v>28</v>
      </c>
      <c r="B69" s="3" t="s">
        <v>0</v>
      </c>
      <c r="C69" s="5">
        <v>198</v>
      </c>
      <c r="D69" s="5">
        <v>233</v>
      </c>
      <c r="E69" s="6">
        <f t="shared" si="0"/>
        <v>0.17676767676767677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3" t="s">
        <v>28</v>
      </c>
      <c r="B70" s="3" t="s">
        <v>21</v>
      </c>
      <c r="C70" s="5">
        <v>307</v>
      </c>
      <c r="D70" s="5">
        <v>354</v>
      </c>
      <c r="E70" s="6">
        <f t="shared" si="0"/>
        <v>0.15309446254071662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3" t="s">
        <v>28</v>
      </c>
      <c r="B71" s="3" t="s">
        <v>9</v>
      </c>
      <c r="C71" s="5">
        <v>209</v>
      </c>
      <c r="D71" s="5">
        <v>239</v>
      </c>
      <c r="E71" s="6">
        <f t="shared" si="0"/>
        <v>0.14354066985645933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3" t="s">
        <v>28</v>
      </c>
      <c r="B72" s="3" t="s">
        <v>10</v>
      </c>
      <c r="C72" s="5">
        <v>105</v>
      </c>
      <c r="D72" s="5">
        <v>113</v>
      </c>
      <c r="E72" s="6">
        <f t="shared" si="0"/>
        <v>7.6190476190476197E-2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3" t="s">
        <v>28</v>
      </c>
      <c r="B73" s="3" t="s">
        <v>8</v>
      </c>
      <c r="C73" s="5">
        <v>316</v>
      </c>
      <c r="D73" s="5">
        <v>349</v>
      </c>
      <c r="E73" s="6">
        <f t="shared" si="0"/>
        <v>0.10443037974683544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3" t="s">
        <v>28</v>
      </c>
      <c r="B74" s="3" t="s">
        <v>22</v>
      </c>
      <c r="C74" s="5">
        <v>90</v>
      </c>
      <c r="D74" s="5">
        <v>120</v>
      </c>
      <c r="E74" s="6">
        <f t="shared" si="0"/>
        <v>0.33333333333333331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4" t="s">
        <v>29</v>
      </c>
      <c r="B75" s="3" t="s">
        <v>26</v>
      </c>
      <c r="C75" s="5">
        <v>81</v>
      </c>
      <c r="D75" s="5">
        <v>116</v>
      </c>
      <c r="E75" s="6">
        <f t="shared" si="0"/>
        <v>0.43209876543209874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4" t="s">
        <v>29</v>
      </c>
      <c r="B76" s="3" t="s">
        <v>10</v>
      </c>
      <c r="C76" s="5">
        <v>105</v>
      </c>
      <c r="D76" s="5">
        <v>113</v>
      </c>
      <c r="E76" s="6">
        <f t="shared" si="0"/>
        <v>7.6190476190476197E-2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4" t="s">
        <v>29</v>
      </c>
      <c r="B77" s="3" t="s">
        <v>8</v>
      </c>
      <c r="C77" s="5">
        <v>297</v>
      </c>
      <c r="D77" s="5">
        <v>349</v>
      </c>
      <c r="E77" s="6">
        <f t="shared" si="0"/>
        <v>0.17508417508417509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4" t="s">
        <v>29</v>
      </c>
      <c r="B78" s="3" t="s">
        <v>23</v>
      </c>
      <c r="C78" s="5">
        <v>1090</v>
      </c>
      <c r="D78" s="5">
        <v>1193</v>
      </c>
      <c r="E78" s="6">
        <f t="shared" si="0"/>
        <v>9.4495412844036702E-2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4" t="s">
        <v>29</v>
      </c>
      <c r="B79" s="3" t="s">
        <v>19</v>
      </c>
      <c r="C79" s="5">
        <v>181</v>
      </c>
      <c r="D79" s="5">
        <v>221</v>
      </c>
      <c r="E79" s="6">
        <f t="shared" si="0"/>
        <v>0.22099447513812154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4" t="s">
        <v>29</v>
      </c>
      <c r="B80" s="3" t="s">
        <v>13</v>
      </c>
      <c r="C80" s="5">
        <v>185</v>
      </c>
      <c r="D80" s="5">
        <v>225</v>
      </c>
      <c r="E80" s="6">
        <f t="shared" si="0"/>
        <v>0.21621621621621623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4" t="s">
        <v>29</v>
      </c>
      <c r="B81" s="3" t="s">
        <v>12</v>
      </c>
      <c r="C81" s="5">
        <v>279</v>
      </c>
      <c r="D81" s="5">
        <v>337</v>
      </c>
      <c r="E81" s="6">
        <f t="shared" si="0"/>
        <v>0.2078853046594982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4" t="s">
        <v>29</v>
      </c>
      <c r="B82" s="3" t="s">
        <v>17</v>
      </c>
      <c r="C82" s="5">
        <v>95</v>
      </c>
      <c r="D82" s="5">
        <v>113</v>
      </c>
      <c r="E82" s="6">
        <f t="shared" si="0"/>
        <v>0.18947368421052632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4" t="s">
        <v>29</v>
      </c>
      <c r="B83" s="3" t="s">
        <v>22</v>
      </c>
      <c r="C83" s="5">
        <v>95</v>
      </c>
      <c r="D83" s="5">
        <v>120</v>
      </c>
      <c r="E83" s="6">
        <f t="shared" si="0"/>
        <v>0.26315789473684209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4" t="s">
        <v>29</v>
      </c>
      <c r="B84" s="3" t="s">
        <v>15</v>
      </c>
      <c r="C84" s="5">
        <v>479</v>
      </c>
      <c r="D84" s="5">
        <v>578</v>
      </c>
      <c r="E84" s="6">
        <f t="shared" si="0"/>
        <v>0.20668058455114824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4" t="s">
        <v>29</v>
      </c>
      <c r="B85" s="3" t="s">
        <v>20</v>
      </c>
      <c r="C85" s="5">
        <v>96</v>
      </c>
      <c r="D85" s="5">
        <v>111</v>
      </c>
      <c r="E85" s="6">
        <f t="shared" si="0"/>
        <v>0.15625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4" t="s">
        <v>29</v>
      </c>
      <c r="B86" s="3" t="s">
        <v>24</v>
      </c>
      <c r="C86" s="5">
        <v>486</v>
      </c>
      <c r="D86" s="5">
        <v>581</v>
      </c>
      <c r="E86" s="6">
        <f t="shared" si="0"/>
        <v>0.19547325102880658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4" t="s">
        <v>29</v>
      </c>
      <c r="B87" s="3" t="s">
        <v>7</v>
      </c>
      <c r="C87" s="5">
        <v>990</v>
      </c>
      <c r="D87" s="5">
        <v>1136</v>
      </c>
      <c r="E87" s="6">
        <f t="shared" si="0"/>
        <v>0.14747474747474748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4" t="s">
        <v>29</v>
      </c>
      <c r="B88" s="3" t="s">
        <v>14</v>
      </c>
      <c r="C88" s="5">
        <v>101</v>
      </c>
      <c r="D88" s="5">
        <v>118</v>
      </c>
      <c r="E88" s="6">
        <f t="shared" si="0"/>
        <v>0.16831683168316833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4" t="s">
        <v>29</v>
      </c>
      <c r="B89" s="3" t="s">
        <v>18</v>
      </c>
      <c r="C89" s="5">
        <v>212</v>
      </c>
      <c r="D89" s="5">
        <v>220</v>
      </c>
      <c r="E89" s="6">
        <f t="shared" si="0"/>
        <v>3.7735849056603772E-2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4" t="s">
        <v>29</v>
      </c>
      <c r="B90" s="3" t="s">
        <v>11</v>
      </c>
      <c r="C90" s="5">
        <v>531</v>
      </c>
      <c r="D90" s="5">
        <v>556</v>
      </c>
      <c r="E90" s="6">
        <f t="shared" si="0"/>
        <v>4.7080979284369114E-2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4" t="s">
        <v>29</v>
      </c>
      <c r="B91" s="3" t="s">
        <v>16</v>
      </c>
      <c r="C91" s="5">
        <v>319</v>
      </c>
      <c r="D91" s="5">
        <v>344</v>
      </c>
      <c r="E91" s="6">
        <f t="shared" si="0"/>
        <v>7.8369905956112859E-2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4" t="s">
        <v>29</v>
      </c>
      <c r="B92" s="3" t="s">
        <v>0</v>
      </c>
      <c r="C92" s="5">
        <v>214</v>
      </c>
      <c r="D92" s="5">
        <v>233</v>
      </c>
      <c r="E92" s="6">
        <f t="shared" si="0"/>
        <v>8.8785046728971959E-2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4" t="s">
        <v>29</v>
      </c>
      <c r="B93" s="3" t="s">
        <v>21</v>
      </c>
      <c r="C93" s="5">
        <v>286</v>
      </c>
      <c r="D93" s="5">
        <v>354</v>
      </c>
      <c r="E93" s="6">
        <f t="shared" si="0"/>
        <v>0.23776223776223776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3" t="s">
        <v>30</v>
      </c>
      <c r="B94" s="3" t="s">
        <v>24</v>
      </c>
      <c r="C94" s="5">
        <v>427</v>
      </c>
      <c r="D94" s="5">
        <v>581</v>
      </c>
      <c r="E94" s="6">
        <f t="shared" si="0"/>
        <v>0.36065573770491804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3" t="s">
        <v>30</v>
      </c>
      <c r="B95" s="3" t="s">
        <v>15</v>
      </c>
      <c r="C95" s="5">
        <v>454</v>
      </c>
      <c r="D95" s="5">
        <v>578</v>
      </c>
      <c r="E95" s="6">
        <f t="shared" si="0"/>
        <v>0.27312775330396477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3" t="s">
        <v>30</v>
      </c>
      <c r="B96" s="3" t="s">
        <v>19</v>
      </c>
      <c r="C96" s="5">
        <v>210</v>
      </c>
      <c r="D96" s="5">
        <v>221</v>
      </c>
      <c r="E96" s="6">
        <f t="shared" si="0"/>
        <v>5.2380952380952382E-2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3" t="s">
        <v>30</v>
      </c>
      <c r="B97" s="3" t="s">
        <v>16</v>
      </c>
      <c r="C97" s="5">
        <v>275</v>
      </c>
      <c r="D97" s="5">
        <v>344</v>
      </c>
      <c r="E97" s="6">
        <f t="shared" si="0"/>
        <v>0.25090909090909091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3" t="s">
        <v>30</v>
      </c>
      <c r="B98" s="3" t="s">
        <v>0</v>
      </c>
      <c r="C98" s="5">
        <v>214</v>
      </c>
      <c r="D98" s="5">
        <v>233</v>
      </c>
      <c r="E98" s="6">
        <f t="shared" si="0"/>
        <v>8.8785046728971959E-2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3" t="s">
        <v>30</v>
      </c>
      <c r="B99" s="3" t="s">
        <v>17</v>
      </c>
      <c r="C99" s="5">
        <v>92</v>
      </c>
      <c r="D99" s="5">
        <v>113</v>
      </c>
      <c r="E99" s="6">
        <f t="shared" si="0"/>
        <v>0.22826086956521738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3" t="s">
        <v>30</v>
      </c>
      <c r="B100" s="3" t="s">
        <v>9</v>
      </c>
      <c r="C100" s="5">
        <v>185</v>
      </c>
      <c r="D100" s="5">
        <v>239</v>
      </c>
      <c r="E100" s="6">
        <f t="shared" si="0"/>
        <v>0.29189189189189191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3" t="s">
        <v>30</v>
      </c>
      <c r="B101" s="3" t="s">
        <v>21</v>
      </c>
      <c r="C101" s="5">
        <v>311</v>
      </c>
      <c r="D101" s="5">
        <v>354</v>
      </c>
      <c r="E101" s="6">
        <f t="shared" si="0"/>
        <v>0.13826366559485531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3" t="s">
        <v>30</v>
      </c>
      <c r="B102" s="3" t="s">
        <v>22</v>
      </c>
      <c r="C102" s="5">
        <v>91</v>
      </c>
      <c r="D102" s="5">
        <v>120</v>
      </c>
      <c r="E102" s="6">
        <f t="shared" si="0"/>
        <v>0.31868131868131866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3" t="s">
        <v>30</v>
      </c>
      <c r="B103" s="3" t="s">
        <v>13</v>
      </c>
      <c r="C103" s="5">
        <v>192</v>
      </c>
      <c r="D103" s="5">
        <v>225</v>
      </c>
      <c r="E103" s="6">
        <f t="shared" si="0"/>
        <v>0.171875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3" t="s">
        <v>30</v>
      </c>
      <c r="B104" s="3" t="s">
        <v>18</v>
      </c>
      <c r="C104" s="5">
        <v>196</v>
      </c>
      <c r="D104" s="5">
        <v>220</v>
      </c>
      <c r="E104" s="6">
        <f t="shared" si="0"/>
        <v>0.12244897959183673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3" t="s">
        <v>30</v>
      </c>
      <c r="B105" s="3" t="s">
        <v>10</v>
      </c>
      <c r="C105" s="5">
        <v>99</v>
      </c>
      <c r="D105" s="5">
        <v>113</v>
      </c>
      <c r="E105" s="6">
        <f t="shared" si="0"/>
        <v>0.14141414141414141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3" t="s">
        <v>30</v>
      </c>
      <c r="B106" s="3" t="s">
        <v>8</v>
      </c>
      <c r="C106" s="5">
        <v>298</v>
      </c>
      <c r="D106" s="5">
        <v>349</v>
      </c>
      <c r="E106" s="6">
        <f t="shared" si="0"/>
        <v>0.17114093959731544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3" t="s">
        <v>30</v>
      </c>
      <c r="B107" s="3" t="s">
        <v>11</v>
      </c>
      <c r="C107" s="5">
        <v>506</v>
      </c>
      <c r="D107" s="5">
        <v>556</v>
      </c>
      <c r="E107" s="6">
        <f t="shared" si="0"/>
        <v>9.8814229249011856E-2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3" t="s">
        <v>30</v>
      </c>
      <c r="B108" s="3" t="s">
        <v>26</v>
      </c>
      <c r="C108" s="5">
        <v>104</v>
      </c>
      <c r="D108" s="5">
        <v>116</v>
      </c>
      <c r="E108" s="6">
        <f t="shared" si="0"/>
        <v>0.11538461538461539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3" t="s">
        <v>30</v>
      </c>
      <c r="B109" s="3" t="s">
        <v>7</v>
      </c>
      <c r="C109" s="5">
        <v>925</v>
      </c>
      <c r="D109" s="5">
        <v>1136</v>
      </c>
      <c r="E109" s="6">
        <f t="shared" si="0"/>
        <v>0.22810810810810811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4" t="s">
        <v>31</v>
      </c>
      <c r="B110" s="3" t="s">
        <v>8</v>
      </c>
      <c r="C110" s="5">
        <v>255</v>
      </c>
      <c r="D110" s="5">
        <v>349</v>
      </c>
      <c r="E110" s="6">
        <f t="shared" si="0"/>
        <v>0.36862745098039218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4" t="s">
        <v>31</v>
      </c>
      <c r="B111" s="3" t="s">
        <v>0</v>
      </c>
      <c r="C111" s="5">
        <v>183</v>
      </c>
      <c r="D111" s="5">
        <v>233</v>
      </c>
      <c r="E111" s="6">
        <f t="shared" si="0"/>
        <v>0.27322404371584702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4" t="s">
        <v>31</v>
      </c>
      <c r="B112" s="3" t="s">
        <v>10</v>
      </c>
      <c r="C112" s="5">
        <v>97</v>
      </c>
      <c r="D112" s="5">
        <v>113</v>
      </c>
      <c r="E112" s="6">
        <f t="shared" si="0"/>
        <v>0.16494845360824742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4" t="s">
        <v>31</v>
      </c>
      <c r="B113" s="3" t="s">
        <v>11</v>
      </c>
      <c r="C113" s="5">
        <v>501</v>
      </c>
      <c r="D113" s="5">
        <v>556</v>
      </c>
      <c r="E113" s="6">
        <f t="shared" si="0"/>
        <v>0.10978043912175649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4" t="s">
        <v>31</v>
      </c>
      <c r="B114" s="3" t="s">
        <v>17</v>
      </c>
      <c r="C114" s="5">
        <v>93</v>
      </c>
      <c r="D114" s="5">
        <v>113</v>
      </c>
      <c r="E114" s="6">
        <f t="shared" si="0"/>
        <v>0.21505376344086022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4" t="s">
        <v>31</v>
      </c>
      <c r="B115" s="3" t="s">
        <v>16</v>
      </c>
      <c r="C115" s="5">
        <v>305</v>
      </c>
      <c r="D115" s="5">
        <v>344</v>
      </c>
      <c r="E115" s="6">
        <f t="shared" si="0"/>
        <v>0.12786885245901639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4" t="s">
        <v>31</v>
      </c>
      <c r="B116" s="3" t="s">
        <v>26</v>
      </c>
      <c r="C116" s="5">
        <v>93</v>
      </c>
      <c r="D116" s="5">
        <v>116</v>
      </c>
      <c r="E116" s="6">
        <f t="shared" si="0"/>
        <v>0.24731182795698925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4" t="s">
        <v>31</v>
      </c>
      <c r="B117" s="3" t="s">
        <v>12</v>
      </c>
      <c r="C117" s="5">
        <v>281</v>
      </c>
      <c r="D117" s="5">
        <v>337</v>
      </c>
      <c r="E117" s="6">
        <f t="shared" si="0"/>
        <v>0.199288256227758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4" t="s">
        <v>31</v>
      </c>
      <c r="B118" s="3" t="s">
        <v>24</v>
      </c>
      <c r="C118" s="5">
        <v>471</v>
      </c>
      <c r="D118" s="5">
        <v>581</v>
      </c>
      <c r="E118" s="6">
        <f t="shared" si="0"/>
        <v>0.23354564755838642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4" t="s">
        <v>31</v>
      </c>
      <c r="B119" s="3" t="s">
        <v>13</v>
      </c>
      <c r="C119" s="5">
        <v>189</v>
      </c>
      <c r="D119" s="5">
        <v>225</v>
      </c>
      <c r="E119" s="6">
        <f t="shared" si="0"/>
        <v>0.19047619047619047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4" t="s">
        <v>31</v>
      </c>
      <c r="B120" s="3" t="s">
        <v>15</v>
      </c>
      <c r="C120" s="5">
        <v>478</v>
      </c>
      <c r="D120" s="5">
        <v>578</v>
      </c>
      <c r="E120" s="6">
        <f t="shared" si="0"/>
        <v>0.20920502092050208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4" t="s">
        <v>31</v>
      </c>
      <c r="B121" s="3" t="s">
        <v>14</v>
      </c>
      <c r="C121" s="5">
        <v>97</v>
      </c>
      <c r="D121" s="5">
        <v>118</v>
      </c>
      <c r="E121" s="6">
        <f t="shared" si="0"/>
        <v>0.21649484536082475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4" t="s">
        <v>31</v>
      </c>
      <c r="B122" s="3" t="s">
        <v>7</v>
      </c>
      <c r="C122" s="5">
        <v>982</v>
      </c>
      <c r="D122" s="5">
        <v>1136</v>
      </c>
      <c r="E122" s="6">
        <f t="shared" si="0"/>
        <v>0.15682281059063136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4" t="s">
        <v>31</v>
      </c>
      <c r="B123" s="3" t="s">
        <v>21</v>
      </c>
      <c r="C123" s="5">
        <v>298</v>
      </c>
      <c r="D123" s="5">
        <v>354</v>
      </c>
      <c r="E123" s="6">
        <f t="shared" si="0"/>
        <v>0.18791946308724833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4" t="s">
        <v>31</v>
      </c>
      <c r="B124" s="3" t="s">
        <v>19</v>
      </c>
      <c r="C124" s="5">
        <v>205</v>
      </c>
      <c r="D124" s="5">
        <v>221</v>
      </c>
      <c r="E124" s="6">
        <f t="shared" si="0"/>
        <v>7.8048780487804878E-2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4" t="s">
        <v>31</v>
      </c>
      <c r="B125" s="3" t="s">
        <v>22</v>
      </c>
      <c r="C125" s="5">
        <v>103</v>
      </c>
      <c r="D125" s="5">
        <v>120</v>
      </c>
      <c r="E125" s="6">
        <f t="shared" si="0"/>
        <v>0.1650485436893204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4" t="s">
        <v>31</v>
      </c>
      <c r="B126" s="3" t="s">
        <v>9</v>
      </c>
      <c r="C126" s="5">
        <v>208</v>
      </c>
      <c r="D126" s="5">
        <v>239</v>
      </c>
      <c r="E126" s="6">
        <f t="shared" si="0"/>
        <v>0.14903846153846154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4" t="s">
        <v>31</v>
      </c>
      <c r="B127" s="3" t="s">
        <v>23</v>
      </c>
      <c r="C127" s="5">
        <v>1045</v>
      </c>
      <c r="D127" s="5">
        <v>1193</v>
      </c>
      <c r="E127" s="6">
        <f t="shared" si="0"/>
        <v>0.14162679425837321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3" t="s">
        <v>32</v>
      </c>
      <c r="B128" s="3" t="s">
        <v>16</v>
      </c>
      <c r="C128" s="5">
        <v>245</v>
      </c>
      <c r="D128" s="5">
        <v>344</v>
      </c>
      <c r="E128" s="6">
        <f t="shared" si="0"/>
        <v>0.40408163265306124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3" t="s">
        <v>32</v>
      </c>
      <c r="B129" s="3" t="s">
        <v>17</v>
      </c>
      <c r="C129" s="5">
        <v>101</v>
      </c>
      <c r="D129" s="5">
        <v>113</v>
      </c>
      <c r="E129" s="6">
        <f t="shared" si="0"/>
        <v>0.11881188118811881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3" t="s">
        <v>32</v>
      </c>
      <c r="B130" s="3" t="s">
        <v>20</v>
      </c>
      <c r="C130" s="5">
        <v>97</v>
      </c>
      <c r="D130" s="5">
        <v>111</v>
      </c>
      <c r="E130" s="6">
        <f t="shared" si="0"/>
        <v>0.14432989690721648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3" t="s">
        <v>32</v>
      </c>
      <c r="B131" s="3" t="s">
        <v>26</v>
      </c>
      <c r="C131" s="5">
        <v>96</v>
      </c>
      <c r="D131" s="5">
        <v>116</v>
      </c>
      <c r="E131" s="6">
        <f t="shared" si="0"/>
        <v>0.20833333333333334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3" t="s">
        <v>32</v>
      </c>
      <c r="B132" s="3" t="s">
        <v>13</v>
      </c>
      <c r="C132" s="5">
        <v>187</v>
      </c>
      <c r="D132" s="5">
        <v>225</v>
      </c>
      <c r="E132" s="6">
        <f t="shared" si="0"/>
        <v>0.20320855614973263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3" t="s">
        <v>32</v>
      </c>
      <c r="B133" s="3" t="s">
        <v>9</v>
      </c>
      <c r="C133" s="5">
        <v>210</v>
      </c>
      <c r="D133" s="5">
        <v>239</v>
      </c>
      <c r="E133" s="6">
        <f t="shared" si="0"/>
        <v>0.1380952380952381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3" t="s">
        <v>32</v>
      </c>
      <c r="B134" s="3" t="s">
        <v>21</v>
      </c>
      <c r="C134" s="5">
        <v>297</v>
      </c>
      <c r="D134" s="5">
        <v>354</v>
      </c>
      <c r="E134" s="6">
        <f t="shared" si="0"/>
        <v>0.19191919191919191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3" t="s">
        <v>32</v>
      </c>
      <c r="B135" s="3" t="s">
        <v>24</v>
      </c>
      <c r="C135" s="5">
        <v>458</v>
      </c>
      <c r="D135" s="5">
        <v>581</v>
      </c>
      <c r="E135" s="6">
        <f t="shared" si="0"/>
        <v>0.26855895196506552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3" t="s">
        <v>32</v>
      </c>
      <c r="B136" s="3" t="s">
        <v>22</v>
      </c>
      <c r="C136" s="5">
        <v>92</v>
      </c>
      <c r="D136" s="5">
        <v>120</v>
      </c>
      <c r="E136" s="6">
        <f t="shared" si="0"/>
        <v>0.30434782608695654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3" t="s">
        <v>32</v>
      </c>
      <c r="B137" s="3" t="s">
        <v>0</v>
      </c>
      <c r="C137" s="5">
        <v>187</v>
      </c>
      <c r="D137" s="5">
        <v>233</v>
      </c>
      <c r="E137" s="6">
        <f t="shared" si="0"/>
        <v>0.24598930481283424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3" t="s">
        <v>32</v>
      </c>
      <c r="B138" s="3" t="s">
        <v>7</v>
      </c>
      <c r="C138" s="5">
        <v>936</v>
      </c>
      <c r="D138" s="5">
        <v>1136</v>
      </c>
      <c r="E138" s="6">
        <f t="shared" si="0"/>
        <v>0.21367521367521367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3" t="s">
        <v>32</v>
      </c>
      <c r="B139" s="3" t="s">
        <v>18</v>
      </c>
      <c r="C139" s="5">
        <v>188</v>
      </c>
      <c r="D139" s="5">
        <v>220</v>
      </c>
      <c r="E139" s="6">
        <f t="shared" si="0"/>
        <v>0.1702127659574468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3" t="s">
        <v>32</v>
      </c>
      <c r="B140" s="3" t="s">
        <v>8</v>
      </c>
      <c r="C140" s="5">
        <v>297</v>
      </c>
      <c r="D140" s="5">
        <v>349</v>
      </c>
      <c r="E140" s="6">
        <f t="shared" si="0"/>
        <v>0.17508417508417509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3" t="s">
        <v>32</v>
      </c>
      <c r="B141" s="3" t="s">
        <v>14</v>
      </c>
      <c r="C141" s="5">
        <v>102</v>
      </c>
      <c r="D141" s="5">
        <v>118</v>
      </c>
      <c r="E141" s="6">
        <f t="shared" si="0"/>
        <v>0.15686274509803921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3" t="s">
        <v>32</v>
      </c>
      <c r="B142" s="3" t="s">
        <v>10</v>
      </c>
      <c r="C142" s="5">
        <v>103</v>
      </c>
      <c r="D142" s="5">
        <v>113</v>
      </c>
      <c r="E142" s="6">
        <f t="shared" si="0"/>
        <v>9.7087378640776698E-2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4" t="s">
        <v>33</v>
      </c>
      <c r="B143" s="3" t="s">
        <v>19</v>
      </c>
      <c r="C143" s="5">
        <v>178</v>
      </c>
      <c r="D143" s="5">
        <v>221</v>
      </c>
      <c r="E143" s="6">
        <f t="shared" si="0"/>
        <v>0.24157303370786518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4" t="s">
        <v>33</v>
      </c>
      <c r="B144" s="3" t="s">
        <v>17</v>
      </c>
      <c r="C144" s="5">
        <v>103</v>
      </c>
      <c r="D144" s="5">
        <v>113</v>
      </c>
      <c r="E144" s="6">
        <f t="shared" si="0"/>
        <v>9.7087378640776698E-2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4" t="s">
        <v>33</v>
      </c>
      <c r="B145" s="3" t="s">
        <v>26</v>
      </c>
      <c r="C145" s="5">
        <v>104</v>
      </c>
      <c r="D145" s="5">
        <v>116</v>
      </c>
      <c r="E145" s="6">
        <f t="shared" si="0"/>
        <v>0.11538461538461539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4" t="s">
        <v>33</v>
      </c>
      <c r="B146" s="3" t="s">
        <v>0</v>
      </c>
      <c r="C146" s="5">
        <v>184</v>
      </c>
      <c r="D146" s="5">
        <v>233</v>
      </c>
      <c r="E146" s="6">
        <f t="shared" si="0"/>
        <v>0.26630434782608697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4" t="s">
        <v>33</v>
      </c>
      <c r="B147" s="3" t="s">
        <v>15</v>
      </c>
      <c r="C147" s="5">
        <v>531</v>
      </c>
      <c r="D147" s="5">
        <v>578</v>
      </c>
      <c r="E147" s="6">
        <f t="shared" si="0"/>
        <v>8.851224105461393E-2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4" t="s">
        <v>33</v>
      </c>
      <c r="B148" s="3" t="s">
        <v>18</v>
      </c>
      <c r="C148" s="5">
        <v>186</v>
      </c>
      <c r="D148" s="5">
        <v>220</v>
      </c>
      <c r="E148" s="6">
        <f t="shared" si="0"/>
        <v>0.18279569892473119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4" t="s">
        <v>33</v>
      </c>
      <c r="B149" s="3" t="s">
        <v>23</v>
      </c>
      <c r="C149" s="5">
        <v>977</v>
      </c>
      <c r="D149" s="5">
        <v>1193</v>
      </c>
      <c r="E149" s="6">
        <f t="shared" si="0"/>
        <v>0.2210849539406346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4" t="s">
        <v>33</v>
      </c>
      <c r="B150" s="3" t="s">
        <v>21</v>
      </c>
      <c r="C150" s="5">
        <v>316</v>
      </c>
      <c r="D150" s="5">
        <v>354</v>
      </c>
      <c r="E150" s="6">
        <f t="shared" si="0"/>
        <v>0.12025316455696203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4" t="s">
        <v>33</v>
      </c>
      <c r="B151" s="3" t="s">
        <v>24</v>
      </c>
      <c r="C151" s="5">
        <v>530</v>
      </c>
      <c r="D151" s="5">
        <v>581</v>
      </c>
      <c r="E151" s="6">
        <f t="shared" si="0"/>
        <v>9.6226415094339629E-2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4" t="s">
        <v>33</v>
      </c>
      <c r="B152" s="3" t="s">
        <v>20</v>
      </c>
      <c r="C152" s="5">
        <v>103</v>
      </c>
      <c r="D152" s="5">
        <v>111</v>
      </c>
      <c r="E152" s="6">
        <f t="shared" si="0"/>
        <v>7.7669902912621352E-2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4" t="s">
        <v>33</v>
      </c>
      <c r="B153" s="3" t="s">
        <v>11</v>
      </c>
      <c r="C153" s="5">
        <v>477</v>
      </c>
      <c r="D153" s="5">
        <v>556</v>
      </c>
      <c r="E153" s="6">
        <f t="shared" si="0"/>
        <v>0.16561844863731656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4" t="s">
        <v>33</v>
      </c>
      <c r="B154" s="3" t="s">
        <v>8</v>
      </c>
      <c r="C154" s="5">
        <v>302</v>
      </c>
      <c r="D154" s="5">
        <v>349</v>
      </c>
      <c r="E154" s="6">
        <f t="shared" si="0"/>
        <v>0.15562913907284767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4" t="s">
        <v>33</v>
      </c>
      <c r="B155" s="3" t="s">
        <v>14</v>
      </c>
      <c r="C155" s="5">
        <v>103</v>
      </c>
      <c r="D155" s="5">
        <v>118</v>
      </c>
      <c r="E155" s="6">
        <f t="shared" si="0"/>
        <v>0.14563106796116504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4" t="s">
        <v>33</v>
      </c>
      <c r="B156" s="3" t="s">
        <v>13</v>
      </c>
      <c r="C156" s="5">
        <v>190</v>
      </c>
      <c r="D156" s="5">
        <v>225</v>
      </c>
      <c r="E156" s="6">
        <f t="shared" si="0"/>
        <v>0.18421052631578946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4" t="s">
        <v>33</v>
      </c>
      <c r="B157" s="3" t="s">
        <v>9</v>
      </c>
      <c r="C157" s="5">
        <v>186</v>
      </c>
      <c r="D157" s="5">
        <v>239</v>
      </c>
      <c r="E157" s="6">
        <f t="shared" si="0"/>
        <v>0.28494623655913981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3" t="s">
        <v>34</v>
      </c>
      <c r="B158" s="3" t="s">
        <v>11</v>
      </c>
      <c r="C158" s="5">
        <v>432</v>
      </c>
      <c r="D158" s="5">
        <v>556</v>
      </c>
      <c r="E158" s="6">
        <f t="shared" si="0"/>
        <v>0.28703703703703703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3" t="s">
        <v>34</v>
      </c>
      <c r="B159" s="3" t="s">
        <v>24</v>
      </c>
      <c r="C159" s="5">
        <v>451</v>
      </c>
      <c r="D159" s="5">
        <v>581</v>
      </c>
      <c r="E159" s="6">
        <f t="shared" si="0"/>
        <v>0.28824833702882485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3" t="s">
        <v>34</v>
      </c>
      <c r="B160" s="3" t="s">
        <v>10</v>
      </c>
      <c r="C160" s="5">
        <v>91</v>
      </c>
      <c r="D160" s="5">
        <v>113</v>
      </c>
      <c r="E160" s="6">
        <f t="shared" si="0"/>
        <v>0.24175824175824176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3" t="s">
        <v>34</v>
      </c>
      <c r="B161" s="3" t="s">
        <v>9</v>
      </c>
      <c r="C161" s="5">
        <v>183</v>
      </c>
      <c r="D161" s="5">
        <v>239</v>
      </c>
      <c r="E161" s="6">
        <f t="shared" si="0"/>
        <v>0.30601092896174864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3" t="s">
        <v>34</v>
      </c>
      <c r="B162" s="3" t="s">
        <v>21</v>
      </c>
      <c r="C162" s="5">
        <v>278</v>
      </c>
      <c r="D162" s="5">
        <v>354</v>
      </c>
      <c r="E162" s="6">
        <f t="shared" si="0"/>
        <v>0.2733812949640288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3" t="s">
        <v>34</v>
      </c>
      <c r="B163" s="3" t="s">
        <v>18</v>
      </c>
      <c r="C163" s="5">
        <v>186</v>
      </c>
      <c r="D163" s="5">
        <v>220</v>
      </c>
      <c r="E163" s="6">
        <f t="shared" si="0"/>
        <v>0.18279569892473119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3" t="s">
        <v>34</v>
      </c>
      <c r="B164" s="3" t="s">
        <v>7</v>
      </c>
      <c r="C164" s="5">
        <v>949</v>
      </c>
      <c r="D164" s="5">
        <v>1136</v>
      </c>
      <c r="E164" s="6">
        <f t="shared" si="0"/>
        <v>0.19704952581664911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3" t="s">
        <v>34</v>
      </c>
      <c r="B165" s="3" t="s">
        <v>12</v>
      </c>
      <c r="C165" s="5">
        <v>293</v>
      </c>
      <c r="D165" s="5">
        <v>337</v>
      </c>
      <c r="E165" s="6">
        <f t="shared" si="0"/>
        <v>0.15017064846416384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3" t="s">
        <v>34</v>
      </c>
      <c r="B166" s="3" t="s">
        <v>8</v>
      </c>
      <c r="C166" s="5">
        <v>293</v>
      </c>
      <c r="D166" s="5">
        <v>349</v>
      </c>
      <c r="E166" s="6">
        <f t="shared" si="0"/>
        <v>0.19112627986348124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3" t="s">
        <v>34</v>
      </c>
      <c r="B167" s="3" t="s">
        <v>14</v>
      </c>
      <c r="C167" s="5">
        <v>98</v>
      </c>
      <c r="D167" s="5">
        <v>118</v>
      </c>
      <c r="E167" s="6">
        <f t="shared" si="0"/>
        <v>0.20408163265306123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3" t="s">
        <v>34</v>
      </c>
      <c r="B168" s="3" t="s">
        <v>26</v>
      </c>
      <c r="C168" s="5">
        <v>101</v>
      </c>
      <c r="D168" s="5">
        <v>116</v>
      </c>
      <c r="E168" s="6">
        <f t="shared" si="0"/>
        <v>0.14851485148514851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3" t="s">
        <v>34</v>
      </c>
      <c r="B169" s="3" t="s">
        <v>15</v>
      </c>
      <c r="C169" s="5">
        <v>508</v>
      </c>
      <c r="D169" s="5">
        <v>578</v>
      </c>
      <c r="E169" s="6">
        <f t="shared" si="0"/>
        <v>0.13779527559055119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3" t="s">
        <v>34</v>
      </c>
      <c r="B170" s="3" t="s">
        <v>22</v>
      </c>
      <c r="C170" s="5">
        <v>95</v>
      </c>
      <c r="D170" s="5">
        <v>120</v>
      </c>
      <c r="E170" s="6">
        <f t="shared" si="0"/>
        <v>0.26315789473684209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3" t="s">
        <v>34</v>
      </c>
      <c r="B171" s="3" t="s">
        <v>23</v>
      </c>
      <c r="C171" s="5">
        <v>974</v>
      </c>
      <c r="D171" s="5">
        <v>1193</v>
      </c>
      <c r="E171" s="6">
        <f t="shared" si="0"/>
        <v>0.22484599589322382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3" t="s">
        <v>34</v>
      </c>
      <c r="B172" s="3" t="s">
        <v>20</v>
      </c>
      <c r="C172" s="5">
        <v>94</v>
      </c>
      <c r="D172" s="5">
        <v>111</v>
      </c>
      <c r="E172" s="6">
        <f t="shared" si="0"/>
        <v>0.18085106382978725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4" t="s">
        <v>35</v>
      </c>
      <c r="B173" s="3" t="s">
        <v>23</v>
      </c>
      <c r="C173" s="5">
        <v>892</v>
      </c>
      <c r="D173" s="5">
        <v>1193</v>
      </c>
      <c r="E173" s="6">
        <f t="shared" si="0"/>
        <v>0.33744394618834078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4" t="s">
        <v>35</v>
      </c>
      <c r="B174" s="3" t="s">
        <v>18</v>
      </c>
      <c r="C174" s="5">
        <v>195</v>
      </c>
      <c r="D174" s="5">
        <v>220</v>
      </c>
      <c r="E174" s="6">
        <f t="shared" si="0"/>
        <v>0.12820512820512819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4" t="s">
        <v>35</v>
      </c>
      <c r="B175" s="3" t="s">
        <v>22</v>
      </c>
      <c r="C175" s="5">
        <v>96</v>
      </c>
      <c r="D175" s="5">
        <v>120</v>
      </c>
      <c r="E175" s="6">
        <f t="shared" si="0"/>
        <v>0.25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4" t="s">
        <v>35</v>
      </c>
      <c r="B176" s="3" t="s">
        <v>15</v>
      </c>
      <c r="C176" s="5">
        <v>467</v>
      </c>
      <c r="D176" s="5">
        <v>578</v>
      </c>
      <c r="E176" s="6">
        <f t="shared" si="0"/>
        <v>0.23768736616702354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4" t="s">
        <v>35</v>
      </c>
      <c r="B177" s="3" t="s">
        <v>7</v>
      </c>
      <c r="C177" s="5">
        <v>920</v>
      </c>
      <c r="D177" s="5">
        <v>1136</v>
      </c>
      <c r="E177" s="6">
        <f t="shared" si="0"/>
        <v>0.23478260869565218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4" t="s">
        <v>35</v>
      </c>
      <c r="B178" s="3" t="s">
        <v>9</v>
      </c>
      <c r="C178" s="5">
        <v>185</v>
      </c>
      <c r="D178" s="5">
        <v>239</v>
      </c>
      <c r="E178" s="6">
        <f t="shared" si="0"/>
        <v>0.29189189189189191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4" t="s">
        <v>35</v>
      </c>
      <c r="B179" s="3" t="s">
        <v>12</v>
      </c>
      <c r="C179" s="5">
        <v>294</v>
      </c>
      <c r="D179" s="5">
        <v>337</v>
      </c>
      <c r="E179" s="6">
        <f t="shared" si="0"/>
        <v>0.14625850340136054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4" t="s">
        <v>35</v>
      </c>
      <c r="B180" s="3" t="s">
        <v>24</v>
      </c>
      <c r="C180" s="5">
        <v>492</v>
      </c>
      <c r="D180" s="5">
        <v>581</v>
      </c>
      <c r="E180" s="6">
        <f t="shared" si="0"/>
        <v>0.18089430894308944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4" t="s">
        <v>35</v>
      </c>
      <c r="B181" s="3" t="s">
        <v>19</v>
      </c>
      <c r="C181" s="5">
        <v>198</v>
      </c>
      <c r="D181" s="5">
        <v>221</v>
      </c>
      <c r="E181" s="6">
        <f t="shared" si="0"/>
        <v>0.11616161616161616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4" t="s">
        <v>35</v>
      </c>
      <c r="B182" s="3" t="s">
        <v>0</v>
      </c>
      <c r="C182" s="5">
        <v>199</v>
      </c>
      <c r="D182" s="5">
        <v>233</v>
      </c>
      <c r="E182" s="6">
        <f t="shared" si="0"/>
        <v>0.17085427135678391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4" t="s">
        <v>35</v>
      </c>
      <c r="B183" s="3" t="s">
        <v>13</v>
      </c>
      <c r="C183" s="5">
        <v>188</v>
      </c>
      <c r="D183" s="5">
        <v>225</v>
      </c>
      <c r="E183" s="6">
        <f t="shared" si="0"/>
        <v>0.19680851063829788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3" t="s">
        <v>36</v>
      </c>
      <c r="B184" s="3" t="s">
        <v>10</v>
      </c>
      <c r="C184" s="5">
        <v>94</v>
      </c>
      <c r="D184" s="5">
        <v>113</v>
      </c>
      <c r="E184" s="6">
        <f t="shared" si="0"/>
        <v>0.20212765957446807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3" t="s">
        <v>36</v>
      </c>
      <c r="B185" s="3" t="s">
        <v>16</v>
      </c>
      <c r="C185" s="5">
        <v>283</v>
      </c>
      <c r="D185" s="5">
        <v>344</v>
      </c>
      <c r="E185" s="6">
        <f t="shared" si="0"/>
        <v>0.21554770318021202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3" t="s">
        <v>36</v>
      </c>
      <c r="B186" s="3" t="s">
        <v>22</v>
      </c>
      <c r="C186" s="5">
        <v>93</v>
      </c>
      <c r="D186" s="5">
        <v>120</v>
      </c>
      <c r="E186" s="6">
        <f t="shared" si="0"/>
        <v>0.29032258064516131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3" t="s">
        <v>36</v>
      </c>
      <c r="B187" s="3" t="s">
        <v>13</v>
      </c>
      <c r="C187" s="5">
        <v>161</v>
      </c>
      <c r="D187" s="5">
        <v>225</v>
      </c>
      <c r="E187" s="6">
        <f t="shared" si="0"/>
        <v>0.39751552795031053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3" t="s">
        <v>36</v>
      </c>
      <c r="B188" s="3" t="s">
        <v>12</v>
      </c>
      <c r="C188" s="5">
        <v>283</v>
      </c>
      <c r="D188" s="5">
        <v>337</v>
      </c>
      <c r="E188" s="6">
        <f t="shared" si="0"/>
        <v>0.19081272084805653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3" t="s">
        <v>36</v>
      </c>
      <c r="B189" s="3" t="s">
        <v>18</v>
      </c>
      <c r="C189" s="5">
        <v>193</v>
      </c>
      <c r="D189" s="5">
        <v>220</v>
      </c>
      <c r="E189" s="6">
        <f t="shared" si="0"/>
        <v>0.13989637305699482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3" t="s">
        <v>36</v>
      </c>
      <c r="B190" s="3" t="s">
        <v>23</v>
      </c>
      <c r="C190" s="5">
        <v>941</v>
      </c>
      <c r="D190" s="5">
        <v>1193</v>
      </c>
      <c r="E190" s="6">
        <f t="shared" si="0"/>
        <v>0.2678002125398512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3" t="s">
        <v>36</v>
      </c>
      <c r="B191" s="3" t="s">
        <v>14</v>
      </c>
      <c r="C191" s="5">
        <v>95</v>
      </c>
      <c r="D191" s="5">
        <v>118</v>
      </c>
      <c r="E191" s="6">
        <f t="shared" si="0"/>
        <v>0.24210526315789474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3" t="s">
        <v>36</v>
      </c>
      <c r="B192" s="3" t="s">
        <v>8</v>
      </c>
      <c r="C192" s="5">
        <v>291</v>
      </c>
      <c r="D192" s="5">
        <v>349</v>
      </c>
      <c r="E192" s="6">
        <f t="shared" si="0"/>
        <v>0.19931271477663232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3" t="s">
        <v>36</v>
      </c>
      <c r="B193" s="3" t="s">
        <v>9</v>
      </c>
      <c r="C193" s="5">
        <v>199</v>
      </c>
      <c r="D193" s="5">
        <v>239</v>
      </c>
      <c r="E193" s="6">
        <f t="shared" si="0"/>
        <v>0.20100502512562815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3" t="s">
        <v>36</v>
      </c>
      <c r="B194" s="3" t="s">
        <v>15</v>
      </c>
      <c r="C194" s="5">
        <v>473</v>
      </c>
      <c r="D194" s="5">
        <v>578</v>
      </c>
      <c r="E194" s="6">
        <f t="shared" si="0"/>
        <v>0.22198731501057081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4" t="s">
        <v>37</v>
      </c>
      <c r="B195" s="3" t="s">
        <v>20</v>
      </c>
      <c r="C195" s="5">
        <v>81</v>
      </c>
      <c r="D195" s="5">
        <v>111</v>
      </c>
      <c r="E195" s="6">
        <f t="shared" si="0"/>
        <v>0.37037037037037035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4" t="s">
        <v>37</v>
      </c>
      <c r="B196" s="3" t="s">
        <v>15</v>
      </c>
      <c r="C196" s="5">
        <v>463</v>
      </c>
      <c r="D196" s="5">
        <v>578</v>
      </c>
      <c r="E196" s="6">
        <f t="shared" si="0"/>
        <v>0.24838012958963282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4" t="s">
        <v>37</v>
      </c>
      <c r="B197" s="3" t="s">
        <v>22</v>
      </c>
      <c r="C197" s="5">
        <v>97</v>
      </c>
      <c r="D197" s="5">
        <v>120</v>
      </c>
      <c r="E197" s="6">
        <f t="shared" si="0"/>
        <v>0.23711340206185566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4" t="s">
        <v>37</v>
      </c>
      <c r="B198" s="3" t="s">
        <v>24</v>
      </c>
      <c r="C198" s="5">
        <v>504</v>
      </c>
      <c r="D198" s="5">
        <v>581</v>
      </c>
      <c r="E198" s="6">
        <f t="shared" si="0"/>
        <v>0.15277777777777779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4" t="s">
        <v>37</v>
      </c>
      <c r="B199" s="3" t="s">
        <v>26</v>
      </c>
      <c r="C199" s="5">
        <v>100</v>
      </c>
      <c r="D199" s="5">
        <v>116</v>
      </c>
      <c r="E199" s="6">
        <f t="shared" si="0"/>
        <v>0.16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4" t="s">
        <v>37</v>
      </c>
      <c r="B200" s="3" t="s">
        <v>16</v>
      </c>
      <c r="C200" s="5">
        <v>305</v>
      </c>
      <c r="D200" s="5">
        <v>344</v>
      </c>
      <c r="E200" s="6">
        <f t="shared" si="0"/>
        <v>0.12786885245901639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4" t="s">
        <v>37</v>
      </c>
      <c r="B201" s="3" t="s">
        <v>11</v>
      </c>
      <c r="C201" s="5">
        <v>469</v>
      </c>
      <c r="D201" s="5">
        <v>556</v>
      </c>
      <c r="E201" s="6">
        <f t="shared" si="0"/>
        <v>0.18550106609808104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4" t="s">
        <v>37</v>
      </c>
      <c r="B202" s="3" t="s">
        <v>23</v>
      </c>
      <c r="C202" s="5">
        <v>976</v>
      </c>
      <c r="D202" s="5">
        <v>1193</v>
      </c>
      <c r="E202" s="6">
        <f t="shared" si="0"/>
        <v>0.2223360655737705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4" t="s">
        <v>37</v>
      </c>
      <c r="B203" s="3" t="s">
        <v>14</v>
      </c>
      <c r="C203" s="5">
        <v>92</v>
      </c>
      <c r="D203" s="5">
        <v>118</v>
      </c>
      <c r="E203" s="6">
        <f t="shared" si="0"/>
        <v>0.28260869565217389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3" t="s">
        <v>38</v>
      </c>
      <c r="B204" s="3" t="s">
        <v>22</v>
      </c>
      <c r="C204" s="5">
        <v>84</v>
      </c>
      <c r="D204" s="5">
        <v>120</v>
      </c>
      <c r="E204" s="6">
        <f t="shared" si="0"/>
        <v>0.42857142857142855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3" t="s">
        <v>38</v>
      </c>
      <c r="B205" s="3" t="s">
        <v>7</v>
      </c>
      <c r="C205" s="5">
        <v>970</v>
      </c>
      <c r="D205" s="5">
        <v>1136</v>
      </c>
      <c r="E205" s="6">
        <f t="shared" si="0"/>
        <v>0.1711340206185567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3" t="s">
        <v>38</v>
      </c>
      <c r="B206" s="3" t="s">
        <v>15</v>
      </c>
      <c r="C206" s="5">
        <v>478</v>
      </c>
      <c r="D206" s="5">
        <v>578</v>
      </c>
      <c r="E206" s="6">
        <f t="shared" si="0"/>
        <v>0.20920502092050208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3" t="s">
        <v>38</v>
      </c>
      <c r="B207" s="3" t="s">
        <v>24</v>
      </c>
      <c r="C207" s="5">
        <v>496</v>
      </c>
      <c r="D207" s="5">
        <v>581</v>
      </c>
      <c r="E207" s="6">
        <f t="shared" si="0"/>
        <v>0.17137096774193547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3" t="s">
        <v>38</v>
      </c>
      <c r="B208" s="3" t="s">
        <v>0</v>
      </c>
      <c r="C208" s="5">
        <v>196</v>
      </c>
      <c r="D208" s="5">
        <v>233</v>
      </c>
      <c r="E208" s="6">
        <f t="shared" si="0"/>
        <v>0.18877551020408162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3" t="s">
        <v>38</v>
      </c>
      <c r="B209" s="3" t="s">
        <v>8</v>
      </c>
      <c r="C209" s="5">
        <v>281</v>
      </c>
      <c r="D209" s="5">
        <v>349</v>
      </c>
      <c r="E209" s="6">
        <f t="shared" si="0"/>
        <v>0.24199288256227758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">
      <c r="A210" s="3" t="s">
        <v>38</v>
      </c>
      <c r="B210" s="3" t="s">
        <v>11</v>
      </c>
      <c r="C210" s="5">
        <v>496</v>
      </c>
      <c r="D210" s="5">
        <v>556</v>
      </c>
      <c r="E210" s="6">
        <f t="shared" si="0"/>
        <v>0.12096774193548387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">
      <c r="A211" s="3" t="s">
        <v>38</v>
      </c>
      <c r="B211" s="3" t="s">
        <v>13</v>
      </c>
      <c r="C211" s="5">
        <v>190</v>
      </c>
      <c r="D211" s="5">
        <v>225</v>
      </c>
      <c r="E211" s="6">
        <f t="shared" si="0"/>
        <v>0.18421052631578946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">
      <c r="A212" s="3" t="s">
        <v>38</v>
      </c>
      <c r="B212" s="3" t="s">
        <v>10</v>
      </c>
      <c r="C212" s="5">
        <v>98</v>
      </c>
      <c r="D212" s="5">
        <v>113</v>
      </c>
      <c r="E212" s="6">
        <f t="shared" si="0"/>
        <v>0.15306122448979592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">
      <c r="A213" s="3" t="s">
        <v>38</v>
      </c>
      <c r="B213" s="3" t="s">
        <v>21</v>
      </c>
      <c r="C213" s="5">
        <v>293</v>
      </c>
      <c r="D213" s="5">
        <v>354</v>
      </c>
      <c r="E213" s="6">
        <f t="shared" si="0"/>
        <v>0.20819112627986347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">
      <c r="A214" s="3" t="s">
        <v>38</v>
      </c>
      <c r="B214" s="3" t="s">
        <v>14</v>
      </c>
      <c r="C214" s="5">
        <v>98</v>
      </c>
      <c r="D214" s="5">
        <v>118</v>
      </c>
      <c r="E214" s="6">
        <f t="shared" si="0"/>
        <v>0.20408163265306123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">
      <c r="A215" s="3" t="s">
        <v>38</v>
      </c>
      <c r="B215" s="3" t="s">
        <v>23</v>
      </c>
      <c r="C215" s="5">
        <v>943</v>
      </c>
      <c r="D215" s="5">
        <v>1193</v>
      </c>
      <c r="E215" s="6">
        <f t="shared" si="0"/>
        <v>0.26511134676564158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">
      <c r="A216" s="4" t="s">
        <v>39</v>
      </c>
      <c r="B216" s="3" t="s">
        <v>17</v>
      </c>
      <c r="C216" s="5">
        <v>84</v>
      </c>
      <c r="D216" s="5">
        <v>113</v>
      </c>
      <c r="E216" s="6">
        <f t="shared" si="0"/>
        <v>0.34523809523809523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">
      <c r="A217" s="4" t="s">
        <v>39</v>
      </c>
      <c r="B217" s="3" t="s">
        <v>24</v>
      </c>
      <c r="C217" s="5">
        <v>470</v>
      </c>
      <c r="D217" s="5">
        <v>581</v>
      </c>
      <c r="E217" s="6">
        <f t="shared" si="0"/>
        <v>0.23617021276595745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">
      <c r="A218" s="4" t="s">
        <v>39</v>
      </c>
      <c r="B218" s="3" t="s">
        <v>13</v>
      </c>
      <c r="C218" s="5">
        <v>192</v>
      </c>
      <c r="D218" s="5">
        <v>225</v>
      </c>
      <c r="E218" s="6">
        <f t="shared" si="0"/>
        <v>0.171875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">
      <c r="A219" s="4" t="s">
        <v>39</v>
      </c>
      <c r="B219" s="3" t="s">
        <v>8</v>
      </c>
      <c r="C219" s="5">
        <v>290</v>
      </c>
      <c r="D219" s="5">
        <v>349</v>
      </c>
      <c r="E219" s="6">
        <f t="shared" si="0"/>
        <v>0.20344827586206896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">
      <c r="A220" s="4" t="s">
        <v>39</v>
      </c>
      <c r="B220" s="3" t="s">
        <v>16</v>
      </c>
      <c r="C220" s="5">
        <v>293</v>
      </c>
      <c r="D220" s="5">
        <v>344</v>
      </c>
      <c r="E220" s="6">
        <f t="shared" si="0"/>
        <v>0.17406143344709898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">
      <c r="A221" s="4" t="s">
        <v>39</v>
      </c>
      <c r="B221" s="3" t="s">
        <v>18</v>
      </c>
      <c r="C221" s="5">
        <v>202</v>
      </c>
      <c r="D221" s="5">
        <v>220</v>
      </c>
      <c r="E221" s="6">
        <f t="shared" si="0"/>
        <v>8.9108910891089105E-2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">
      <c r="A222" s="4" t="s">
        <v>39</v>
      </c>
      <c r="B222" s="3" t="s">
        <v>21</v>
      </c>
      <c r="C222" s="5">
        <v>278</v>
      </c>
      <c r="D222" s="5">
        <v>354</v>
      </c>
      <c r="E222" s="6">
        <f t="shared" si="0"/>
        <v>0.2733812949640288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">
      <c r="A223" s="4" t="s">
        <v>39</v>
      </c>
      <c r="B223" s="3" t="s">
        <v>22</v>
      </c>
      <c r="C223" s="5">
        <v>95</v>
      </c>
      <c r="D223" s="5">
        <v>120</v>
      </c>
      <c r="E223" s="6">
        <f t="shared" si="0"/>
        <v>0.26315789473684209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">
      <c r="A224" s="4" t="s">
        <v>39</v>
      </c>
      <c r="B224" s="3" t="s">
        <v>9</v>
      </c>
      <c r="C224" s="5">
        <v>186</v>
      </c>
      <c r="D224" s="5">
        <v>239</v>
      </c>
      <c r="E224" s="6">
        <f t="shared" si="0"/>
        <v>0.28494623655913981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">
      <c r="A225" s="4" t="s">
        <v>39</v>
      </c>
      <c r="B225" s="3" t="s">
        <v>20</v>
      </c>
      <c r="C225" s="5">
        <v>92</v>
      </c>
      <c r="D225" s="5">
        <v>111</v>
      </c>
      <c r="E225" s="6">
        <f t="shared" si="0"/>
        <v>0.20652173913043478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">
      <c r="A226" s="4" t="s">
        <v>39</v>
      </c>
      <c r="B226" s="3" t="s">
        <v>26</v>
      </c>
      <c r="C226" s="5">
        <v>92</v>
      </c>
      <c r="D226" s="5">
        <v>116</v>
      </c>
      <c r="E226" s="6">
        <f t="shared" si="0"/>
        <v>0.2608695652173913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">
      <c r="A227" s="3" t="s">
        <v>40</v>
      </c>
      <c r="B227" s="3" t="s">
        <v>18</v>
      </c>
      <c r="C227" s="5">
        <v>187</v>
      </c>
      <c r="D227" s="5">
        <v>220</v>
      </c>
      <c r="E227" s="6">
        <f t="shared" si="0"/>
        <v>0.17647058823529413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">
      <c r="A228" s="3" t="s">
        <v>40</v>
      </c>
      <c r="B228" s="3" t="s">
        <v>14</v>
      </c>
      <c r="C228" s="5">
        <v>96</v>
      </c>
      <c r="D228" s="5">
        <v>118</v>
      </c>
      <c r="E228" s="6">
        <f t="shared" si="0"/>
        <v>0.22916666666666666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">
      <c r="A229" s="3" t="s">
        <v>40</v>
      </c>
      <c r="B229" s="3" t="s">
        <v>9</v>
      </c>
      <c r="C229" s="5">
        <v>170</v>
      </c>
      <c r="D229" s="5">
        <v>239</v>
      </c>
      <c r="E229" s="6">
        <f t="shared" si="0"/>
        <v>0.40588235294117647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">
      <c r="A230" s="3" t="s">
        <v>40</v>
      </c>
      <c r="B230" s="3" t="s">
        <v>19</v>
      </c>
      <c r="C230" s="5">
        <v>198</v>
      </c>
      <c r="D230" s="5">
        <v>221</v>
      </c>
      <c r="E230" s="6">
        <f t="shared" si="0"/>
        <v>0.11616161616161616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">
      <c r="A231" s="3" t="s">
        <v>40</v>
      </c>
      <c r="B231" s="3" t="s">
        <v>21</v>
      </c>
      <c r="C231" s="5">
        <v>285</v>
      </c>
      <c r="D231" s="5">
        <v>354</v>
      </c>
      <c r="E231" s="6">
        <f t="shared" si="0"/>
        <v>0.24210526315789474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">
      <c r="A232" s="3" t="s">
        <v>40</v>
      </c>
      <c r="B232" s="3" t="s">
        <v>8</v>
      </c>
      <c r="C232" s="5">
        <v>274</v>
      </c>
      <c r="D232" s="5">
        <v>349</v>
      </c>
      <c r="E232" s="6">
        <f t="shared" si="0"/>
        <v>0.27372262773722628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">
      <c r="A233" s="3" t="s">
        <v>40</v>
      </c>
      <c r="B233" s="3" t="s">
        <v>17</v>
      </c>
      <c r="C233" s="5">
        <v>95</v>
      </c>
      <c r="D233" s="5">
        <v>113</v>
      </c>
      <c r="E233" s="6">
        <f t="shared" si="0"/>
        <v>0.18947368421052632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">
      <c r="A234" s="3" t="s">
        <v>40</v>
      </c>
      <c r="B234" s="3" t="s">
        <v>7</v>
      </c>
      <c r="C234" s="5">
        <v>963</v>
      </c>
      <c r="D234" s="5">
        <v>1136</v>
      </c>
      <c r="E234" s="6">
        <f t="shared" si="0"/>
        <v>0.17964693665628245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">
      <c r="A235" s="3" t="s">
        <v>40</v>
      </c>
      <c r="B235" s="3" t="s">
        <v>11</v>
      </c>
      <c r="C235" s="5">
        <v>464</v>
      </c>
      <c r="D235" s="5">
        <v>556</v>
      </c>
      <c r="E235" s="6">
        <f t="shared" si="0"/>
        <v>0.19827586206896552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">
      <c r="A236" s="3" t="s">
        <v>40</v>
      </c>
      <c r="B236" s="3" t="s">
        <v>13</v>
      </c>
      <c r="C236" s="5">
        <v>198</v>
      </c>
      <c r="D236" s="5">
        <v>225</v>
      </c>
      <c r="E236" s="6">
        <f t="shared" si="0"/>
        <v>0.13636363636363635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">
      <c r="A237" s="3" t="s">
        <v>40</v>
      </c>
      <c r="B237" s="3" t="s">
        <v>22</v>
      </c>
      <c r="C237" s="5">
        <v>99</v>
      </c>
      <c r="D237" s="5">
        <v>120</v>
      </c>
      <c r="E237" s="6">
        <f t="shared" si="0"/>
        <v>0.21212121212121213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">
      <c r="A238" s="3" t="s">
        <v>40</v>
      </c>
      <c r="B238" s="3" t="s">
        <v>16</v>
      </c>
      <c r="C238" s="5">
        <v>289</v>
      </c>
      <c r="D238" s="5">
        <v>344</v>
      </c>
      <c r="E238" s="6">
        <f t="shared" si="0"/>
        <v>0.19031141868512111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">
      <c r="A239" s="4" t="s">
        <v>41</v>
      </c>
      <c r="B239" s="3" t="s">
        <v>15</v>
      </c>
      <c r="C239" s="5">
        <v>502</v>
      </c>
      <c r="D239" s="5">
        <v>578</v>
      </c>
      <c r="E239" s="6">
        <f t="shared" si="0"/>
        <v>0.15139442231075698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">
      <c r="A240" s="4" t="s">
        <v>41</v>
      </c>
      <c r="B240" s="3" t="s">
        <v>21</v>
      </c>
      <c r="C240" s="5">
        <v>254</v>
      </c>
      <c r="D240" s="5">
        <v>354</v>
      </c>
      <c r="E240" s="6">
        <f t="shared" si="0"/>
        <v>0.39370078740157483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">
      <c r="A241" s="4" t="s">
        <v>41</v>
      </c>
      <c r="B241" s="3" t="s">
        <v>0</v>
      </c>
      <c r="C241" s="5">
        <v>202</v>
      </c>
      <c r="D241" s="5">
        <v>233</v>
      </c>
      <c r="E241" s="6">
        <f t="shared" si="0"/>
        <v>0.15346534653465346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">
      <c r="A242" s="4" t="s">
        <v>41</v>
      </c>
      <c r="B242" s="3" t="s">
        <v>24</v>
      </c>
      <c r="C242" s="5">
        <v>502</v>
      </c>
      <c r="D242" s="5">
        <v>581</v>
      </c>
      <c r="E242" s="6">
        <f t="shared" si="0"/>
        <v>0.15737051792828685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">
      <c r="A243" s="4" t="s">
        <v>41</v>
      </c>
      <c r="B243" s="3" t="s">
        <v>23</v>
      </c>
      <c r="C243" s="5">
        <v>941</v>
      </c>
      <c r="D243" s="5">
        <v>1193</v>
      </c>
      <c r="E243" s="6">
        <f t="shared" si="0"/>
        <v>0.2678002125398512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">
      <c r="A244" s="4" t="s">
        <v>41</v>
      </c>
      <c r="B244" s="3" t="s">
        <v>11</v>
      </c>
      <c r="C244" s="5">
        <v>463</v>
      </c>
      <c r="D244" s="5">
        <v>556</v>
      </c>
      <c r="E244" s="6">
        <f t="shared" si="0"/>
        <v>0.20086393088552915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">
      <c r="A245" s="4" t="s">
        <v>41</v>
      </c>
      <c r="B245" s="3" t="s">
        <v>18</v>
      </c>
      <c r="C245" s="5">
        <v>186</v>
      </c>
      <c r="D245" s="5">
        <v>220</v>
      </c>
      <c r="E245" s="6">
        <f t="shared" si="0"/>
        <v>0.18279569892473119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">
      <c r="A246" s="4" t="s">
        <v>41</v>
      </c>
      <c r="B246" s="3" t="s">
        <v>12</v>
      </c>
      <c r="C246" s="5">
        <v>288</v>
      </c>
      <c r="D246" s="5">
        <v>337</v>
      </c>
      <c r="E246" s="6">
        <f t="shared" si="0"/>
        <v>0.1701388888888889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">
      <c r="A247" s="4" t="s">
        <v>41</v>
      </c>
      <c r="B247" s="3" t="s">
        <v>26</v>
      </c>
      <c r="C247" s="5">
        <v>99</v>
      </c>
      <c r="D247" s="5">
        <v>116</v>
      </c>
      <c r="E247" s="6">
        <f t="shared" si="0"/>
        <v>0.17171717171717171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">
      <c r="A248" s="4" t="s">
        <v>41</v>
      </c>
      <c r="B248" s="3" t="s">
        <v>16</v>
      </c>
      <c r="C248" s="5">
        <v>300</v>
      </c>
      <c r="D248" s="5">
        <v>344</v>
      </c>
      <c r="E248" s="6">
        <f t="shared" si="0"/>
        <v>0.14666666666666667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">
      <c r="A249" s="4" t="s">
        <v>41</v>
      </c>
      <c r="B249" s="3" t="s">
        <v>19</v>
      </c>
      <c r="C249" s="5">
        <v>201</v>
      </c>
      <c r="D249" s="5">
        <v>221</v>
      </c>
      <c r="E249" s="6">
        <f t="shared" si="0"/>
        <v>9.950248756218906E-2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">
      <c r="A250" s="4" t="s">
        <v>41</v>
      </c>
      <c r="B250" s="3" t="s">
        <v>22</v>
      </c>
      <c r="C250" s="5">
        <v>101</v>
      </c>
      <c r="D250" s="5">
        <v>120</v>
      </c>
      <c r="E250" s="6">
        <f t="shared" si="0"/>
        <v>0.18811881188118812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">
      <c r="A251" s="4" t="s">
        <v>41</v>
      </c>
      <c r="B251" s="3" t="s">
        <v>14</v>
      </c>
      <c r="C251" s="5">
        <v>92</v>
      </c>
      <c r="D251" s="5">
        <v>118</v>
      </c>
      <c r="E251" s="6">
        <f t="shared" si="0"/>
        <v>0.28260869565217389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">
      <c r="A252" s="3" t="s">
        <v>42</v>
      </c>
      <c r="B252" s="3" t="s">
        <v>10</v>
      </c>
      <c r="C252" s="5">
        <v>89</v>
      </c>
      <c r="D252" s="5">
        <v>113</v>
      </c>
      <c r="E252" s="6">
        <f t="shared" si="0"/>
        <v>0.2696629213483146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">
      <c r="A253" s="3" t="s">
        <v>42</v>
      </c>
      <c r="B253" s="3" t="s">
        <v>24</v>
      </c>
      <c r="C253" s="5">
        <v>459</v>
      </c>
      <c r="D253" s="5">
        <v>581</v>
      </c>
      <c r="E253" s="6">
        <f t="shared" si="0"/>
        <v>0.26579520697167758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">
      <c r="A254" s="3" t="s">
        <v>42</v>
      </c>
      <c r="B254" s="3" t="s">
        <v>26</v>
      </c>
      <c r="C254" s="5">
        <v>95</v>
      </c>
      <c r="D254" s="5">
        <v>116</v>
      </c>
      <c r="E254" s="6">
        <f t="shared" si="0"/>
        <v>0.22105263157894736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">
      <c r="A255" s="3" t="s">
        <v>42</v>
      </c>
      <c r="B255" s="3" t="s">
        <v>16</v>
      </c>
      <c r="C255" s="5">
        <v>281</v>
      </c>
      <c r="D255" s="5">
        <v>344</v>
      </c>
      <c r="E255" s="6">
        <f t="shared" si="0"/>
        <v>0.22419928825622776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">
      <c r="A256" s="3" t="s">
        <v>42</v>
      </c>
      <c r="B256" s="3" t="s">
        <v>18</v>
      </c>
      <c r="C256" s="5">
        <v>181</v>
      </c>
      <c r="D256" s="5">
        <v>220</v>
      </c>
      <c r="E256" s="6">
        <f t="shared" si="0"/>
        <v>0.21546961325966851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">
      <c r="A257" s="3" t="s">
        <v>42</v>
      </c>
      <c r="B257" s="3" t="s">
        <v>0</v>
      </c>
      <c r="C257" s="5">
        <v>188</v>
      </c>
      <c r="D257" s="5">
        <v>233</v>
      </c>
      <c r="E257" s="6">
        <f t="shared" ref="E257:E286" si="1">(D257-C257)/C257</f>
        <v>0.23936170212765959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">
      <c r="A258" s="3" t="s">
        <v>42</v>
      </c>
      <c r="B258" s="3" t="s">
        <v>23</v>
      </c>
      <c r="C258" s="5">
        <v>944</v>
      </c>
      <c r="D258" s="5">
        <v>1193</v>
      </c>
      <c r="E258" s="6">
        <f t="shared" si="1"/>
        <v>0.26377118644067798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">
      <c r="A259" s="3" t="s">
        <v>42</v>
      </c>
      <c r="B259" s="3" t="s">
        <v>21</v>
      </c>
      <c r="C259" s="5">
        <v>299</v>
      </c>
      <c r="D259" s="5">
        <v>354</v>
      </c>
      <c r="E259" s="6">
        <f t="shared" si="1"/>
        <v>0.18394648829431437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">
      <c r="A260" s="3" t="s">
        <v>42</v>
      </c>
      <c r="B260" s="3" t="s">
        <v>17</v>
      </c>
      <c r="C260" s="5">
        <v>96</v>
      </c>
      <c r="D260" s="5">
        <v>113</v>
      </c>
      <c r="E260" s="6">
        <f t="shared" si="1"/>
        <v>0.17708333333333334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">
      <c r="A261" s="3" t="s">
        <v>42</v>
      </c>
      <c r="B261" s="3" t="s">
        <v>15</v>
      </c>
      <c r="C261" s="5">
        <v>481</v>
      </c>
      <c r="D261" s="5">
        <v>578</v>
      </c>
      <c r="E261" s="6">
        <f t="shared" si="1"/>
        <v>0.20166320166320167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">
      <c r="A262" s="3" t="s">
        <v>42</v>
      </c>
      <c r="B262" s="3" t="s">
        <v>20</v>
      </c>
      <c r="C262" s="5">
        <v>97</v>
      </c>
      <c r="D262" s="5">
        <v>111</v>
      </c>
      <c r="E262" s="6">
        <f t="shared" si="1"/>
        <v>0.14432989690721648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">
      <c r="A263" s="3" t="s">
        <v>42</v>
      </c>
      <c r="B263" s="3" t="s">
        <v>12</v>
      </c>
      <c r="C263" s="5">
        <v>278</v>
      </c>
      <c r="D263" s="5">
        <v>337</v>
      </c>
      <c r="E263" s="6">
        <f t="shared" si="1"/>
        <v>0.21223021582733814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">
      <c r="A264" s="4" t="s">
        <v>43</v>
      </c>
      <c r="B264" s="3" t="s">
        <v>18</v>
      </c>
      <c r="C264" s="5">
        <v>161</v>
      </c>
      <c r="D264" s="5">
        <v>220</v>
      </c>
      <c r="E264" s="6">
        <f t="shared" si="1"/>
        <v>0.36645962732919257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">
      <c r="A265" s="4" t="s">
        <v>43</v>
      </c>
      <c r="B265" s="3" t="s">
        <v>14</v>
      </c>
      <c r="C265" s="5">
        <v>92</v>
      </c>
      <c r="D265" s="5">
        <v>118</v>
      </c>
      <c r="E265" s="6">
        <f t="shared" si="1"/>
        <v>0.28260869565217389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">
      <c r="A266" s="4" t="s">
        <v>43</v>
      </c>
      <c r="B266" s="3" t="s">
        <v>16</v>
      </c>
      <c r="C266" s="5">
        <v>272</v>
      </c>
      <c r="D266" s="5">
        <v>344</v>
      </c>
      <c r="E266" s="6">
        <f t="shared" si="1"/>
        <v>0.26470588235294118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">
      <c r="A267" s="4" t="s">
        <v>43</v>
      </c>
      <c r="B267" s="3" t="s">
        <v>0</v>
      </c>
      <c r="C267" s="5">
        <v>183</v>
      </c>
      <c r="D267" s="5">
        <v>233</v>
      </c>
      <c r="E267" s="6">
        <f t="shared" si="1"/>
        <v>0.27322404371584702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">
      <c r="A268" s="4" t="s">
        <v>43</v>
      </c>
      <c r="B268" s="3" t="s">
        <v>19</v>
      </c>
      <c r="C268" s="5">
        <v>189</v>
      </c>
      <c r="D268" s="5">
        <v>221</v>
      </c>
      <c r="E268" s="6">
        <f t="shared" si="1"/>
        <v>0.1693121693121693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">
      <c r="A269" s="4" t="s">
        <v>43</v>
      </c>
      <c r="B269" s="3" t="s">
        <v>13</v>
      </c>
      <c r="C269" s="5">
        <v>183</v>
      </c>
      <c r="D269" s="5">
        <v>225</v>
      </c>
      <c r="E269" s="6">
        <f t="shared" si="1"/>
        <v>0.22950819672131148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">
      <c r="A270" s="4" t="s">
        <v>43</v>
      </c>
      <c r="B270" s="3" t="s">
        <v>26</v>
      </c>
      <c r="C270" s="5">
        <v>91</v>
      </c>
      <c r="D270" s="5">
        <v>116</v>
      </c>
      <c r="E270" s="6">
        <f t="shared" si="1"/>
        <v>0.27472527472527475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">
      <c r="A271" s="4" t="s">
        <v>43</v>
      </c>
      <c r="B271" s="3" t="s">
        <v>0</v>
      </c>
      <c r="C271" s="5">
        <v>190</v>
      </c>
      <c r="D271" s="5">
        <v>233</v>
      </c>
      <c r="E271" s="6">
        <f t="shared" si="1"/>
        <v>0.22631578947368422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">
      <c r="A272" s="4" t="s">
        <v>43</v>
      </c>
      <c r="B272" s="3" t="s">
        <v>11</v>
      </c>
      <c r="C272" s="5">
        <v>490</v>
      </c>
      <c r="D272" s="5">
        <v>556</v>
      </c>
      <c r="E272" s="6">
        <f t="shared" si="1"/>
        <v>0.13469387755102041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">
      <c r="A273" s="4" t="s">
        <v>43</v>
      </c>
      <c r="B273" s="3" t="s">
        <v>17</v>
      </c>
      <c r="C273" s="5">
        <v>99</v>
      </c>
      <c r="D273" s="5">
        <v>113</v>
      </c>
      <c r="E273" s="6">
        <f t="shared" si="1"/>
        <v>0.14141414141414141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">
      <c r="A274" s="4" t="s">
        <v>43</v>
      </c>
      <c r="B274" s="3" t="s">
        <v>9</v>
      </c>
      <c r="C274" s="5">
        <v>194</v>
      </c>
      <c r="D274" s="5">
        <v>239</v>
      </c>
      <c r="E274" s="6">
        <f t="shared" si="1"/>
        <v>0.23195876288659795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">
      <c r="A275" s="3" t="s">
        <v>44</v>
      </c>
      <c r="B275" s="3" t="s">
        <v>14</v>
      </c>
      <c r="C275" s="5">
        <v>82</v>
      </c>
      <c r="D275" s="5">
        <v>118</v>
      </c>
      <c r="E275" s="6">
        <f t="shared" si="1"/>
        <v>0.43902439024390244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">
      <c r="A276" s="3" t="s">
        <v>44</v>
      </c>
      <c r="B276" s="3" t="s">
        <v>15</v>
      </c>
      <c r="C276" s="5">
        <v>499</v>
      </c>
      <c r="D276" s="5">
        <v>578</v>
      </c>
      <c r="E276" s="6">
        <f t="shared" si="1"/>
        <v>0.15831663326653306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">
      <c r="A277" s="3" t="s">
        <v>44</v>
      </c>
      <c r="B277" s="3" t="s">
        <v>10</v>
      </c>
      <c r="C277" s="5">
        <v>93</v>
      </c>
      <c r="D277" s="5">
        <v>113</v>
      </c>
      <c r="E277" s="6">
        <f t="shared" si="1"/>
        <v>0.21505376344086022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">
      <c r="A278" s="3" t="s">
        <v>44</v>
      </c>
      <c r="B278" s="3" t="s">
        <v>7</v>
      </c>
      <c r="C278" s="5">
        <v>962</v>
      </c>
      <c r="D278" s="5">
        <v>1136</v>
      </c>
      <c r="E278" s="6">
        <f t="shared" si="1"/>
        <v>0.18087318087318088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3" t="s">
        <v>44</v>
      </c>
      <c r="B279" s="3" t="s">
        <v>26</v>
      </c>
      <c r="C279" s="5">
        <v>93</v>
      </c>
      <c r="D279" s="5">
        <v>116</v>
      </c>
      <c r="E279" s="6">
        <f t="shared" si="1"/>
        <v>0.24731182795698925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3" t="s">
        <v>44</v>
      </c>
      <c r="B280" s="3" t="s">
        <v>9</v>
      </c>
      <c r="C280" s="5">
        <v>180</v>
      </c>
      <c r="D280" s="5">
        <v>239</v>
      </c>
      <c r="E280" s="6">
        <f t="shared" si="1"/>
        <v>0.32777777777777778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">
      <c r="A281" s="3" t="s">
        <v>44</v>
      </c>
      <c r="B281" s="3" t="s">
        <v>12</v>
      </c>
      <c r="C281" s="5">
        <v>270</v>
      </c>
      <c r="D281" s="5">
        <v>337</v>
      </c>
      <c r="E281" s="6">
        <f t="shared" si="1"/>
        <v>0.24814814814814815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">
      <c r="A282" s="3" t="s">
        <v>44</v>
      </c>
      <c r="B282" s="3" t="s">
        <v>23</v>
      </c>
      <c r="C282" s="5">
        <v>904</v>
      </c>
      <c r="D282" s="5">
        <v>1193</v>
      </c>
      <c r="E282" s="6">
        <f t="shared" si="1"/>
        <v>0.31969026548672569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">
      <c r="A283" s="3" t="s">
        <v>44</v>
      </c>
      <c r="B283" s="3" t="s">
        <v>13</v>
      </c>
      <c r="C283" s="5">
        <v>185</v>
      </c>
      <c r="D283" s="5">
        <v>225</v>
      </c>
      <c r="E283" s="6">
        <f t="shared" si="1"/>
        <v>0.21621621621621623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">
      <c r="A284" s="3" t="s">
        <v>44</v>
      </c>
      <c r="B284" s="3" t="s">
        <v>21</v>
      </c>
      <c r="C284" s="5">
        <v>281</v>
      </c>
      <c r="D284" s="5">
        <v>354</v>
      </c>
      <c r="E284" s="6">
        <f t="shared" si="1"/>
        <v>0.2597864768683274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">
      <c r="A285" s="3" t="s">
        <v>44</v>
      </c>
      <c r="B285" s="3" t="s">
        <v>19</v>
      </c>
      <c r="C285" s="5">
        <v>195</v>
      </c>
      <c r="D285" s="5">
        <v>221</v>
      </c>
      <c r="E285" s="6">
        <f t="shared" si="1"/>
        <v>0.13333333333333333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">
      <c r="A286" s="3" t="s">
        <v>44</v>
      </c>
      <c r="B286" s="3" t="s">
        <v>18</v>
      </c>
      <c r="C286" s="5">
        <v>196</v>
      </c>
      <c r="D286" s="5">
        <v>220</v>
      </c>
      <c r="E286" s="6">
        <f t="shared" si="1"/>
        <v>0.12244897959183673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1:25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1:25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1:25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1:25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1:25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sheetData>
    <row r="1" spans="1:27" x14ac:dyDescent="0.2">
      <c r="A1" s="7" t="s">
        <v>1</v>
      </c>
      <c r="B1" s="8" t="s">
        <v>45</v>
      </c>
      <c r="C1" s="9" t="s">
        <v>46</v>
      </c>
      <c r="D1" s="10" t="s">
        <v>47</v>
      </c>
      <c r="E1" s="9" t="s">
        <v>48</v>
      </c>
      <c r="F1" s="11" t="s">
        <v>49</v>
      </c>
      <c r="G1" s="8" t="s">
        <v>50</v>
      </c>
      <c r="H1" s="11" t="s">
        <v>51</v>
      </c>
      <c r="I1" s="8" t="s">
        <v>52</v>
      </c>
      <c r="J1" s="11" t="s">
        <v>53</v>
      </c>
      <c r="K1" s="8" t="s">
        <v>54</v>
      </c>
      <c r="L1" s="11" t="s">
        <v>55</v>
      </c>
      <c r="M1" s="8" t="s">
        <v>56</v>
      </c>
      <c r="N1" s="11" t="s">
        <v>57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12" t="s">
        <v>44</v>
      </c>
      <c r="B2" s="13" t="s">
        <v>14</v>
      </c>
      <c r="C2" s="14" t="str">
        <f ca="1">IFERROR(__xludf.DUMMYFUNCTION("INDEX(FILTER('데이터'!B$2:B$612, '데이터'!A$2:A$612=$A2), MATCH(LARGE(FILTER('데이터'!E$2:E$612, '데이터'!A$2:A$612=$A2), 1), FILTER('데이터'!E$2:E$612, '데이터'!A$2:A$612=$A2), 0))"),"목재")</f>
        <v>목재</v>
      </c>
      <c r="D2" s="15">
        <f ca="1">IFERROR(__xludf.DUMMYFUNCTION("LARGE(FILTER('데이터'!E$2:E$612, '데이터'!A$2:A$612=$A2), 1)"),0.439024390243902)</f>
        <v>0.439024390243902</v>
      </c>
      <c r="E2" s="14" t="str">
        <f ca="1">IFERROR(__xludf.DUMMYFUNCTION("INDEX(FILTER('데이터'!B$2:B$612, '데이터'!A$2:A$612=A2), MATCH(LARGE(FILTER('데이터'!E$2:E$612, '데이터'!A$2:A$612=A2), 2), FILTER('데이터'!E$2:E$612, '데이터'!A$2:A$612=A2), 0))"),"녹차")</f>
        <v>녹차</v>
      </c>
      <c r="F2" s="16">
        <f ca="1">IFERROR(__xludf.DUMMYFUNCTION("LARGE(FILTER('데이터'!E$2:E$612, '데이터'!A$2:A$612=$A2), 2)"),0.327777777777777)</f>
        <v>0.327777777777777</v>
      </c>
      <c r="G2" s="13" t="str">
        <f ca="1">IFERROR(__xludf.DUMMYFUNCTION("INDEX(FILTER('데이터'!B$2:B$612, '데이터'!A$2:A$612=A2), MATCH(LARGE(FILTER('데이터'!E$2:E$612, '데이터'!A$2:A$612=A2), 3), FILTER('데이터'!E$2:E$612, '데이터'!A$2:A$612=A2), 0))"),"상아")</f>
        <v>상아</v>
      </c>
      <c r="H2" s="16">
        <f ca="1">IFERROR(__xludf.DUMMYFUNCTION("LARGE(FILTER('데이터'!E$2:E$612, '데이터'!A$2:A$612=$A2), 3)"),0.319690265486725)</f>
        <v>0.31969026548672502</v>
      </c>
      <c r="I2" s="13" t="str">
        <f ca="1">IFERROR(__xludf.DUMMYFUNCTION("INDEX(FILTER('데이터'!B$2:B$612, '데이터'!A$2:A$612=A2), MATCH(LARGE(FILTER('데이터'!E$2:E$612, '데이터'!A$2:A$612=A2), 4), FILTER('데이터'!E$2:E$612, '데이터'!A$2:A$612=A2), 0))"),"향료")</f>
        <v>향료</v>
      </c>
      <c r="J2" s="16">
        <f ca="1">IFERROR(__xludf.DUMMYFUNCTION("LARGE(FILTER('데이터'!E$2:E$612, '데이터'!A$2:A$612=$A2), 4)"),0.259786476868327)</f>
        <v>0.25978647686832701</v>
      </c>
      <c r="K2" s="13" t="str">
        <f ca="1">IFERROR(__xludf.DUMMYFUNCTION("INDEX(FILTER('데이터'!B$2:B$612, '데이터'!A$2:A$612=A2), MATCH(LARGE(FILTER('데이터'!E$2:E$612, '데이터'!A$2:A$612=A2), 5), FILTER('데이터'!E$2:E$612, '데이터'!A$2:A$612=A2), 0))"),"옥 제품")</f>
        <v>옥 제품</v>
      </c>
      <c r="L2" s="16">
        <f ca="1">IFERROR(__xludf.DUMMYFUNCTION("LARGE(FILTER('데이터'!E$2:E$612, '데이터'!A$2:A$612=$A2), 5)"),0.248148148148148)</f>
        <v>0.24814814814814801</v>
      </c>
      <c r="M2" s="2" t="str">
        <f ca="1">IFERROR(__xludf.DUMMYFUNCTION("INDEX(FILTER('데이터'!B$2:B$612, '데이터'!A$2:A$612=A2), MATCH(LARGE(FILTER('데이터'!E$2:E$612, '데이터'!A$2:A$612=A2), 6), FILTER('데이터'!E$2:E$612, '데이터'!A$2:A$612=A2), 0))"),"어육")</f>
        <v>어육</v>
      </c>
      <c r="N2" s="16">
        <f ca="1">IFERROR(__xludf.DUMMYFUNCTION("LARGE(FILTER('데이터'!E$2:E$612, '데이터'!A$2:A$612=$A2), 6)"),0.247311827956989)</f>
        <v>0.247311827956989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2" t="s">
        <v>6</v>
      </c>
      <c r="B3" s="13" t="s">
        <v>7</v>
      </c>
      <c r="C3" s="14" t="str">
        <f ca="1">IFERROR(__xludf.DUMMYFUNCTION("INDEX(FILTER('데이터'!B$2:B$612, '데이터'!A$2:A$612=A3), MATCH(LARGE(FILTER('데이터'!E$2:E$612, '데이터'!A$2:A$612=A3), 1), FILTER('데이터'!E$2:E$612, '데이터'!A$2:A$612=A3), 0))"),"녹용")</f>
        <v>녹용</v>
      </c>
      <c r="D3" s="15">
        <f ca="1">IFERROR(__xludf.DUMMYFUNCTION("LARGE(FILTER('데이터'!E$2:E$612, '데이터'!A$2:A$612=$A3), 1)"),0.370325693606755)</f>
        <v>0.37032569360675499</v>
      </c>
      <c r="E3" s="14" t="str">
        <f ca="1">IFERROR(__xludf.DUMMYFUNCTION("INDEX(FILTER('데이터'!B$2:B$612, '데이터'!A$2:A$612=A3), MATCH(LARGE(FILTER('데이터'!E$2:E$612, '데이터'!A$2:A$612=A3), 2), FILTER('데이터'!E$2:E$612, '데이터'!A$2:A$612=A3), 0))"),"목재")</f>
        <v>목재</v>
      </c>
      <c r="F3" s="16">
        <f ca="1">IFERROR(__xludf.DUMMYFUNCTION("LARGE(FILTER('데이터'!E$2:E$612, '데이터'!A$2:A$612=$A3), 2)"),0.296703296703296)</f>
        <v>0.29670329670329598</v>
      </c>
      <c r="G3" s="13" t="str">
        <f ca="1">IFERROR(__xludf.DUMMYFUNCTION("INDEX(FILTER('데이터'!B$2:B$612, '데이터'!A$2:A$612=A3), MATCH(LARGE(FILTER('데이터'!E$2:E$612, '데이터'!A$2:A$612=A3), 3), FILTER('데이터'!E$2:E$612, '데이터'!A$2:A$612=A3), 0))"),"진주")</f>
        <v>진주</v>
      </c>
      <c r="H3" s="16">
        <f ca="1">IFERROR(__xludf.DUMMYFUNCTION("LARGE(FILTER('데이터'!E$2:E$612, '데이터'!A$2:A$612=$A3), 3)"),0.27032967032967)</f>
        <v>0.27032967032966998</v>
      </c>
      <c r="I3" s="13" t="str">
        <f ca="1">IFERROR(__xludf.DUMMYFUNCTION("INDEX(FILTER('데이터'!B$2:B$612, '데이터'!A$2:A$612=A3), MATCH(LARGE(FILTER('데이터'!E$2:E$612, '데이터'!A$2:A$612=A3), 4), FILTER('데이터'!E$2:E$612, '데이터'!A$2:A$612=A3), 0))"),"백은")</f>
        <v>백은</v>
      </c>
      <c r="J3" s="16">
        <f ca="1">IFERROR(__xludf.DUMMYFUNCTION("LARGE(FILTER('데이터'!E$2:E$612, '데이터'!A$2:A$612=$A3), 4)"),0.25090909090909)</f>
        <v>0.25090909090909003</v>
      </c>
      <c r="K3" s="13" t="str">
        <f ca="1">IFERROR(__xludf.DUMMYFUNCTION("INDEX(FILTER('데이터'!B$2:B$612, '데이터'!A$2:A$612=A3), MATCH(LARGE(FILTER('데이터'!E$2:E$612, '데이터'!A$2:A$612=A3), 5), FILTER('데이터'!E$2:E$612, '데이터'!A$2:A$612=A3), 0))"),"꽃게")</f>
        <v>꽃게</v>
      </c>
      <c r="L3" s="16">
        <f ca="1">IFERROR(__xludf.DUMMYFUNCTION("LARGE(FILTER('데이터'!E$2:E$612, '데이터'!A$2:A$612=$A3), 5)"),0.243093922651933)</f>
        <v>0.243093922651933</v>
      </c>
      <c r="M3" s="2" t="str">
        <f ca="1">IFERROR(__xludf.DUMMYFUNCTION("INDEX(FILTER('데이터'!B$2:B$612, '데이터'!A$2:A$612=A3), MATCH(LARGE(FILTER('데이터'!E$2:E$612, '데이터'!A$2:A$612=A3), 6), FILTER('데이터'!E$2:E$612, '데이터'!A$2:A$612=A3), 0))"),"녹차")</f>
        <v>녹차</v>
      </c>
      <c r="N3" s="16">
        <f ca="1">IFERROR(__xludf.DUMMYFUNCTION("LARGE(FILTER('데이터'!E$2:E$612, '데이터'!A$2:A$612=$A3), 6)"),0.225641025641025)</f>
        <v>0.22564102564102501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2" t="s">
        <v>30</v>
      </c>
      <c r="B4" s="13" t="s">
        <v>24</v>
      </c>
      <c r="C4" s="14" t="str">
        <f ca="1">IFERROR(__xludf.DUMMYFUNCTION("INDEX(FILTER('데이터'!B$2:B$612, '데이터'!A$2:A$612=A4), MATCH(LARGE(FILTER('데이터'!E$2:E$612, '데이터'!A$2:A$612=A4), 1), FILTER('데이터'!E$2:E$612, '데이터'!A$2:A$612=A4), 0))"),"도자기")</f>
        <v>도자기</v>
      </c>
      <c r="D4" s="15">
        <f ca="1">IFERROR(__xludf.DUMMYFUNCTION("LARGE(FILTER('데이터'!E$2:E$612, '데이터'!A$2:A$612=$A4), 1)"),0.360655737704918)</f>
        <v>0.36065573770491799</v>
      </c>
      <c r="E4" s="14" t="str">
        <f ca="1">IFERROR(__xludf.DUMMYFUNCTION("INDEX(FILTER('데이터'!B$2:B$612, '데이터'!A$2:A$612=A4), MATCH(LARGE(FILTER('데이터'!E$2:E$612, '데이터'!A$2:A$612=A4), 2), FILTER('데이터'!E$2:E$612, '데이터'!A$2:A$612=A4), 0))"),"야자")</f>
        <v>야자</v>
      </c>
      <c r="F4" s="16">
        <f ca="1">IFERROR(__xludf.DUMMYFUNCTION("LARGE(FILTER('데이터'!E$2:E$612, '데이터'!A$2:A$612=$A4), 2)"),0.318681318681318)</f>
        <v>0.31868131868131799</v>
      </c>
      <c r="G4" s="13" t="str">
        <f ca="1">IFERROR(__xludf.DUMMYFUNCTION("INDEX(FILTER('데이터'!B$2:B$612, '데이터'!A$2:A$612=A4), MATCH(LARGE(FILTER('데이터'!E$2:E$612, '데이터'!A$2:A$612=A4), 3), FILTER('데이터'!E$2:E$612, '데이터'!A$2:A$612=A4), 0))"),"녹차")</f>
        <v>녹차</v>
      </c>
      <c r="H4" s="16">
        <f ca="1">IFERROR(__xludf.DUMMYFUNCTION("LARGE(FILTER('데이터'!E$2:E$612, '데이터'!A$2:A$612=$A4), 3)"),0.291891891891891)</f>
        <v>0.29189189189189102</v>
      </c>
      <c r="I4" s="13" t="str">
        <f ca="1">IFERROR(__xludf.DUMMYFUNCTION("INDEX(FILTER('데이터'!B$2:B$612, '데이터'!A$2:A$612=A4), MATCH(LARGE(FILTER('데이터'!E$2:E$612, '데이터'!A$2:A$612=A4), 4), FILTER('데이터'!E$2:E$612, '데이터'!A$2:A$612=A4), 0))"),"진주")</f>
        <v>진주</v>
      </c>
      <c r="J4" s="16">
        <f ca="1">IFERROR(__xludf.DUMMYFUNCTION("LARGE(FILTER('데이터'!E$2:E$612, '데이터'!A$2:A$612=$A4), 4)"),0.273127753303964)</f>
        <v>0.27312775330396399</v>
      </c>
      <c r="K4" s="13" t="str">
        <f ca="1">IFERROR(__xludf.DUMMYFUNCTION("INDEX(FILTER('데이터'!B$2:B$612, '데이터'!A$2:A$612=A4), MATCH(LARGE(FILTER('데이터'!E$2:E$612, '데이터'!A$2:A$612=A4), 5), FILTER('데이터'!E$2:E$612, '데이터'!A$2:A$612=A4), 0))"),"백은")</f>
        <v>백은</v>
      </c>
      <c r="L4" s="16">
        <f ca="1">IFERROR(__xludf.DUMMYFUNCTION("LARGE(FILTER('데이터'!E$2:E$612, '데이터'!A$2:A$612=$A4), 5)"),0.25090909090909)</f>
        <v>0.25090909090909003</v>
      </c>
      <c r="M4" s="2" t="str">
        <f ca="1">IFERROR(__xludf.DUMMYFUNCTION("INDEX(FILTER('데이터'!B$2:B$612, '데이터'!A$2:A$612=A4), MATCH(LARGE(FILTER('데이터'!E$2:E$612, '데이터'!A$2:A$612=A4), 6), FILTER('데이터'!E$2:E$612, '데이터'!A$2:A$612=A4), 0))"),"벼")</f>
        <v>벼</v>
      </c>
      <c r="N4" s="16">
        <f ca="1">IFERROR(__xludf.DUMMYFUNCTION("LARGE(FILTER('데이터'!E$2:E$612, '데이터'!A$2:A$612=$A4), 6)"),0.228260869565217)</f>
        <v>0.22826086956521699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2" t="s">
        <v>40</v>
      </c>
      <c r="B5" s="13" t="s">
        <v>9</v>
      </c>
      <c r="C5" s="14" t="str">
        <f ca="1">IFERROR(__xludf.DUMMYFUNCTION("INDEX(FILTER('데이터'!B$2:B$612, '데이터'!A$2:A$612=A5), MATCH(LARGE(FILTER('데이터'!E$2:E$612, '데이터'!A$2:A$612=A5), 1), FILTER('데이터'!E$2:E$612, '데이터'!A$2:A$612=A5), 0))"),"녹차")</f>
        <v>녹차</v>
      </c>
      <c r="D5" s="15">
        <f ca="1">IFERROR(__xludf.DUMMYFUNCTION("LARGE(FILTER('데이터'!E$2:E$612, '데이터'!A$2:A$612=$A5), 1)"),0.405882352941176)</f>
        <v>0.40588235294117597</v>
      </c>
      <c r="E5" s="14" t="str">
        <f ca="1">IFERROR(__xludf.DUMMYFUNCTION("INDEX(FILTER('데이터'!B$2:B$612, '데이터'!A$2:A$612=A5), MATCH(LARGE(FILTER('데이터'!E$2:E$612, '데이터'!A$2:A$612=A5), 2), FILTER('데이터'!E$2:E$612, '데이터'!A$2:A$612=A5), 0))"),"피혁")</f>
        <v>피혁</v>
      </c>
      <c r="F5" s="16">
        <f ca="1">IFERROR(__xludf.DUMMYFUNCTION("LARGE(FILTER('데이터'!E$2:E$612, '데이터'!A$2:A$612=$A5), 2)"),0.273722627737226)</f>
        <v>0.273722627737226</v>
      </c>
      <c r="G5" s="13" t="str">
        <f ca="1">IFERROR(__xludf.DUMMYFUNCTION("INDEX(FILTER('데이터'!B$2:B$612, '데이터'!A$2:A$612=A5), MATCH(LARGE(FILTER('데이터'!E$2:E$612, '데이터'!A$2:A$612=A5), 3), FILTER('데이터'!E$2:E$612, '데이터'!A$2:A$612=A5), 0))"),"향료")</f>
        <v>향료</v>
      </c>
      <c r="H5" s="16">
        <f ca="1">IFERROR(__xludf.DUMMYFUNCTION("LARGE(FILTER('데이터'!E$2:E$612, '데이터'!A$2:A$612=$A5), 3)"),0.242105263157894)</f>
        <v>0.24210526315789399</v>
      </c>
      <c r="I5" s="13" t="str">
        <f ca="1">IFERROR(__xludf.DUMMYFUNCTION("INDEX(FILTER('데이터'!B$2:B$612, '데이터'!A$2:A$612=A5), MATCH(LARGE(FILTER('데이터'!E$2:E$612, '데이터'!A$2:A$612=A5), 4), FILTER('데이터'!E$2:E$612, '데이터'!A$2:A$612=A5), 0))"),"목재")</f>
        <v>목재</v>
      </c>
      <c r="J5" s="16">
        <f ca="1">IFERROR(__xludf.DUMMYFUNCTION("LARGE(FILTER('데이터'!E$2:E$612, '데이터'!A$2:A$612=$A5), 4)"),0.229166666666666)</f>
        <v>0.22916666666666599</v>
      </c>
      <c r="K5" s="13" t="str">
        <f ca="1">IFERROR(__xludf.DUMMYFUNCTION("INDEX(FILTER('데이터'!B$2:B$612, '데이터'!A$2:A$612=A5), MATCH(LARGE(FILTER('데이터'!E$2:E$612, '데이터'!A$2:A$612=A5), 5), FILTER('데이터'!E$2:E$612, '데이터'!A$2:A$612=A5), 0))"),"야자")</f>
        <v>야자</v>
      </c>
      <c r="L5" s="16">
        <f ca="1">IFERROR(__xludf.DUMMYFUNCTION("LARGE(FILTER('데이터'!E$2:E$612, '데이터'!A$2:A$612=$A5), 5)"),0.212121212121212)</f>
        <v>0.21212121212121199</v>
      </c>
      <c r="M5" s="2" t="str">
        <f ca="1">IFERROR(__xludf.DUMMYFUNCTION("INDEX(FILTER('데이터'!B$2:B$612, '데이터'!A$2:A$612=A5), MATCH(LARGE(FILTER('데이터'!E$2:E$612, '데이터'!A$2:A$612=A5), 6), FILTER('데이터'!E$2:E$612, '데이터'!A$2:A$612=A5), 0))"),"제비집")</f>
        <v>제비집</v>
      </c>
      <c r="N5" s="16">
        <f ca="1">IFERROR(__xludf.DUMMYFUNCTION("LARGE(FILTER('데이터'!E$2:E$612, '데이터'!A$2:A$612=$A5), 6)"),0.198275862068965)</f>
        <v>0.198275862068965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2" t="s">
        <v>25</v>
      </c>
      <c r="B6" s="13" t="s">
        <v>0</v>
      </c>
      <c r="C6" s="14" t="str">
        <f ca="1">IFERROR(__xludf.DUMMYFUNCTION("INDEX(FILTER('데이터'!B$2:B$612, '데이터'!A$2:A$612=A6), MATCH(LARGE(FILTER('데이터'!E$2:E$612, '데이터'!A$2:A$612=A6), 1), FILTER('데이터'!E$2:E$612, '데이터'!A$2:A$612=A6), 0))"),"비단")</f>
        <v>비단</v>
      </c>
      <c r="D6" s="15">
        <f ca="1">IFERROR(__xludf.DUMMYFUNCTION("LARGE(FILTER('데이터'!E$2:E$612, '데이터'!A$2:A$612=$A6), 1)"),0.447204968944099)</f>
        <v>0.447204968944099</v>
      </c>
      <c r="E6" s="14" t="str">
        <f ca="1">IFERROR(__xludf.DUMMYFUNCTION("INDEX(FILTER('데이터'!B$2:B$612, '데이터'!A$2:A$612=A6), MATCH(LARGE(FILTER('데이터'!E$2:E$612, '데이터'!A$2:A$612=A6), 2), FILTER('데이터'!E$2:E$612, '데이터'!A$2:A$612=A6), 0))"),"녹차")</f>
        <v>녹차</v>
      </c>
      <c r="F6" s="16">
        <f ca="1">IFERROR(__xludf.DUMMYFUNCTION("LARGE(FILTER('데이터'!E$2:E$612, '데이터'!A$2:A$612=$A6), 2)"),0.313186813186813)</f>
        <v>0.31318681318681302</v>
      </c>
      <c r="G6" s="13" t="str">
        <f ca="1">IFERROR(__xludf.DUMMYFUNCTION("INDEX(FILTER('데이터'!B$2:B$612, '데이터'!A$2:A$612=A6), MATCH(LARGE(FILTER('데이터'!E$2:E$612, '데이터'!A$2:A$612=A6), 3), FILTER('데이터'!E$2:E$612, '데이터'!A$2:A$612=A6), 0))"),"야자")</f>
        <v>야자</v>
      </c>
      <c r="H6" s="16">
        <f ca="1">IFERROR(__xludf.DUMMYFUNCTION("LARGE(FILTER('데이터'!E$2:E$612, '데이터'!A$2:A$612=$A6), 3)"),0.290322580645161)</f>
        <v>0.29032258064516098</v>
      </c>
      <c r="I6" s="13" t="str">
        <f ca="1">IFERROR(__xludf.DUMMYFUNCTION("INDEX(FILTER('데이터'!B$2:B$612, '데이터'!A$2:A$612=A6), MATCH(LARGE(FILTER('데이터'!E$2:E$612, '데이터'!A$2:A$612=A6), 4), FILTER('데이터'!E$2:E$612, '데이터'!A$2:A$612=A6), 0))"),"어육")</f>
        <v>어육</v>
      </c>
      <c r="J6" s="16">
        <f ca="1">IFERROR(__xludf.DUMMYFUNCTION("LARGE(FILTER('데이터'!E$2:E$612, '데이터'!A$2:A$612=$A6), 4)"),0.274725274725274)</f>
        <v>0.27472527472527403</v>
      </c>
      <c r="K6" s="13" t="str">
        <f ca="1">IFERROR(__xludf.DUMMYFUNCTION("INDEX(FILTER('데이터'!B$2:B$612, '데이터'!A$2:A$612=A6), MATCH(LARGE(FILTER('데이터'!E$2:E$612, '데이터'!A$2:A$612=A6), 5), FILTER('데이터'!E$2:E$612, '데이터'!A$2:A$612=A6), 0))"),"상아")</f>
        <v>상아</v>
      </c>
      <c r="L6" s="16">
        <f ca="1">IFERROR(__xludf.DUMMYFUNCTION("LARGE(FILTER('데이터'!E$2:E$612, '데이터'!A$2:A$612=$A6), 5)"),0.218590398365679)</f>
        <v>0.21859039836567901</v>
      </c>
      <c r="M6" s="2" t="str">
        <f ca="1">IFERROR(__xludf.DUMMYFUNCTION("INDEX(FILTER('데이터'!B$2:B$612, '데이터'!A$2:A$612=A6), MATCH(LARGE(FILTER('데이터'!E$2:E$612, '데이터'!A$2:A$612=A6), 6), FILTER('데이터'!E$2:E$612, '데이터'!A$2:A$612=A6), 0))"),"목재")</f>
        <v>목재</v>
      </c>
      <c r="N6" s="16">
        <f ca="1">IFERROR(__xludf.DUMMYFUNCTION("LARGE(FILTER('데이터'!E$2:E$612, '데이터'!A$2:A$612=$A6), 6)"),0.204081632653061)</f>
        <v>0.20408163265306101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2" t="s">
        <v>27</v>
      </c>
      <c r="B7" s="13" t="s">
        <v>15</v>
      </c>
      <c r="C7" s="14" t="str">
        <f ca="1">IFERROR(__xludf.DUMMYFUNCTION("INDEX(FILTER('데이터'!B$2:B$612, '데이터'!A$2:A$612=A7), MATCH(LARGE(FILTER('데이터'!E$2:E$612, '데이터'!A$2:A$612=A7), 1), FILTER('데이터'!E$2:E$612, '데이터'!A$2:A$612=A7), 0))"),"진주")</f>
        <v>진주</v>
      </c>
      <c r="D7" s="15">
        <f ca="1">IFERROR(__xludf.DUMMYFUNCTION("LARGE(FILTER('데이터'!E$2:E$612, '데이터'!A$2:A$612=$A7), 1)"),0.33487297921478)</f>
        <v>0.33487297921477999</v>
      </c>
      <c r="E7" s="14" t="str">
        <f ca="1">IFERROR(__xludf.DUMMYFUNCTION("INDEX(FILTER('데이터'!B$2:B$612, '데이터'!A$2:A$612=A7), MATCH(LARGE(FILTER('데이터'!E$2:E$612, '데이터'!A$2:A$612=A7), 2), FILTER('데이터'!E$2:E$612, '데이터'!A$2:A$612=A7), 0))"),"목재")</f>
        <v>목재</v>
      </c>
      <c r="F7" s="16">
        <f ca="1">IFERROR(__xludf.DUMMYFUNCTION("LARGE(FILTER('데이터'!E$2:E$612, '데이터'!A$2:A$612=$A7), 2)"),0.242105263157894)</f>
        <v>0.24210526315789399</v>
      </c>
      <c r="G7" s="13" t="str">
        <f ca="1">IFERROR(__xludf.DUMMYFUNCTION("INDEX(FILTER('데이터'!B$2:B$612, '데이터'!A$2:A$612=A7), MATCH(LARGE(FILTER('데이터'!E$2:E$612, '데이터'!A$2:A$612=A7), 3), FILTER('데이터'!E$2:E$612, '데이터'!A$2:A$612=A7), 0))"),"술")</f>
        <v>술</v>
      </c>
      <c r="H7" s="16">
        <f ca="1">IFERROR(__xludf.DUMMYFUNCTION("LARGE(FILTER('데이터'!E$2:E$612, '데이터'!A$2:A$612=$A7), 3)"),0.219780219780219)</f>
        <v>0.219780219780219</v>
      </c>
      <c r="I7" s="13" t="str">
        <f ca="1">IFERROR(__xludf.DUMMYFUNCTION("INDEX(FILTER('데이터'!B$2:B$612, '데이터'!A$2:A$612=A7), MATCH(LARGE(FILTER('데이터'!E$2:E$612, '데이터'!A$2:A$612=A7), 4), FILTER('데이터'!E$2:E$612, '데이터'!A$2:A$612=A7), 0))"),"수정")</f>
        <v>수정</v>
      </c>
      <c r="J7" s="16">
        <f ca="1">IFERROR(__xludf.DUMMYFUNCTION("LARGE(FILTER('데이터'!E$2:E$612, '데이터'!A$2:A$612=$A7), 4)"),0.189189189189189)</f>
        <v>0.18918918918918901</v>
      </c>
      <c r="K7" s="13" t="str">
        <f ca="1">IFERROR(__xludf.DUMMYFUNCTION("INDEX(FILTER('데이터'!B$2:B$612, '데이터'!A$2:A$612=A7), MATCH(LARGE(FILTER('데이터'!E$2:E$612, '데이터'!A$2:A$612=A7), 5), FILTER('데이터'!E$2:E$612, '데이터'!A$2:A$612=A7), 0))"),"녹차")</f>
        <v>녹차</v>
      </c>
      <c r="L7" s="16">
        <f ca="1">IFERROR(__xludf.DUMMYFUNCTION("LARGE(FILTER('데이터'!E$2:E$612, '데이터'!A$2:A$612=$A7), 5)"),0.160194174757281)</f>
        <v>0.16019417475728101</v>
      </c>
      <c r="M7" s="2" t="str">
        <f ca="1">IFERROR(__xludf.DUMMYFUNCTION("INDEX(FILTER('데이터'!B$2:B$612, '데이터'!A$2:A$612=A7), MATCH(LARGE(FILTER('데이터'!E$2:E$612, '데이터'!A$2:A$612=A7), 6), FILTER('데이터'!E$2:E$612, '데이터'!A$2:A$612=A7), 0))"),"도자기")</f>
        <v>도자기</v>
      </c>
      <c r="N7" s="16">
        <f ca="1">IFERROR(__xludf.DUMMYFUNCTION("LARGE(FILTER('데이터'!E$2:E$612, '데이터'!A$2:A$612=$A7), 6)"),0.15506958250497)</f>
        <v>0.15506958250496999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2" t="s">
        <v>39</v>
      </c>
      <c r="B8" s="13" t="s">
        <v>17</v>
      </c>
      <c r="C8" s="14" t="str">
        <f ca="1">IFERROR(__xludf.DUMMYFUNCTION("INDEX(FILTER('데이터'!B$2:B$612, '데이터'!A$2:A$612=A8), MATCH(LARGE(FILTER('데이터'!E$2:E$612, '데이터'!A$2:A$612=A8), 1), FILTER('데이터'!E$2:E$612, '데이터'!A$2:A$612=A8), 0))"),"벼")</f>
        <v>벼</v>
      </c>
      <c r="D8" s="15">
        <f ca="1">IFERROR(__xludf.DUMMYFUNCTION("LARGE(FILTER('데이터'!E$2:E$612, '데이터'!A$2:A$612=$A8), 1)"),0.345238095238095)</f>
        <v>0.34523809523809501</v>
      </c>
      <c r="E8" s="14" t="str">
        <f ca="1">IFERROR(__xludf.DUMMYFUNCTION("INDEX(FILTER('데이터'!B$2:B$612, '데이터'!A$2:A$612=A8), MATCH(LARGE(FILTER('데이터'!E$2:E$612, '데이터'!A$2:A$612=A8), 2), FILTER('데이터'!E$2:E$612, '데이터'!A$2:A$612=A8), 0))"),"녹차")</f>
        <v>녹차</v>
      </c>
      <c r="F8" s="16">
        <f ca="1">IFERROR(__xludf.DUMMYFUNCTION("LARGE(FILTER('데이터'!E$2:E$612, '데이터'!A$2:A$612=$A8), 2)"),0.284946236559139)</f>
        <v>0.28494623655913898</v>
      </c>
      <c r="G8" s="13" t="str">
        <f ca="1">IFERROR(__xludf.DUMMYFUNCTION("INDEX(FILTER('데이터'!B$2:B$612, '데이터'!A$2:A$612=A8), MATCH(LARGE(FILTER('데이터'!E$2:E$612, '데이터'!A$2:A$612=A8), 3), FILTER('데이터'!E$2:E$612, '데이터'!A$2:A$612=A8), 0))"),"향료")</f>
        <v>향료</v>
      </c>
      <c r="H8" s="16">
        <f ca="1">IFERROR(__xludf.DUMMYFUNCTION("LARGE(FILTER('데이터'!E$2:E$612, '데이터'!A$2:A$612=$A8), 3)"),0.273381294964028)</f>
        <v>0.27338129496402802</v>
      </c>
      <c r="I8" s="13" t="str">
        <f ca="1">IFERROR(__xludf.DUMMYFUNCTION("INDEX(FILTER('데이터'!B$2:B$612, '데이터'!A$2:A$612=A8), MATCH(LARGE(FILTER('데이터'!E$2:E$612, '데이터'!A$2:A$612=A8), 4), FILTER('데이터'!E$2:E$612, '데이터'!A$2:A$612=A8), 0))"),"야자")</f>
        <v>야자</v>
      </c>
      <c r="J8" s="16">
        <f ca="1">IFERROR(__xludf.DUMMYFUNCTION("LARGE(FILTER('데이터'!E$2:E$612, '데이터'!A$2:A$612=$A8), 4)"),0.263157894736842)</f>
        <v>0.26315789473684198</v>
      </c>
      <c r="K8" s="13" t="str">
        <f ca="1">IFERROR(__xludf.DUMMYFUNCTION("INDEX(FILTER('데이터'!B$2:B$612, '데이터'!A$2:A$612=A8), MATCH(LARGE(FILTER('데이터'!E$2:E$612, '데이터'!A$2:A$612=A8), 5), FILTER('데이터'!E$2:E$612, '데이터'!A$2:A$612=A8), 0))"),"어육")</f>
        <v>어육</v>
      </c>
      <c r="L8" s="16">
        <f ca="1">IFERROR(__xludf.DUMMYFUNCTION("LARGE(FILTER('데이터'!E$2:E$612, '데이터'!A$2:A$612=$A8), 5)"),0.260869565217391)</f>
        <v>0.26086956521739102</v>
      </c>
      <c r="M8" s="2" t="str">
        <f ca="1">IFERROR(__xludf.DUMMYFUNCTION("INDEX(FILTER('데이터'!B$2:B$612, '데이터'!A$2:A$612=A8), MATCH(LARGE(FILTER('데이터'!E$2:E$612, '데이터'!A$2:A$612=A8), 6), FILTER('데이터'!E$2:E$612, '데이터'!A$2:A$612=A8), 0))"),"도자기")</f>
        <v>도자기</v>
      </c>
      <c r="N8" s="16">
        <f ca="1">IFERROR(__xludf.DUMMYFUNCTION("LARGE(FILTER('데이터'!E$2:E$612, '데이터'!A$2:A$612=$A8), 6)"),0.236170212765957)</f>
        <v>0.23617021276595701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2" t="s">
        <v>34</v>
      </c>
      <c r="B9" s="13" t="s">
        <v>11</v>
      </c>
      <c r="C9" s="14" t="str">
        <f ca="1">IFERROR(__xludf.DUMMYFUNCTION("INDEX(FILTER('데이터'!B$2:B$612, '데이터'!A$2:A$612=A9), MATCH(LARGE(FILTER('데이터'!E$2:E$612, '데이터'!A$2:A$612=A9), 1), FILTER('데이터'!E$2:E$612, '데이터'!A$2:A$612=A9), 0))"),"녹차")</f>
        <v>녹차</v>
      </c>
      <c r="D9" s="15">
        <f ca="1">IFERROR(__xludf.DUMMYFUNCTION("LARGE(FILTER('데이터'!E$2:E$612, '데이터'!A$2:A$612=$A9), 1)"),0.306010928961748)</f>
        <v>0.30601092896174797</v>
      </c>
      <c r="E9" s="14" t="str">
        <f ca="1">IFERROR(__xludf.DUMMYFUNCTION("INDEX(FILTER('데이터'!B$2:B$612, '데이터'!A$2:A$612=A9), MATCH(LARGE(FILTER('데이터'!E$2:E$612, '데이터'!A$2:A$612=A9), 2), FILTER('데이터'!E$2:E$612, '데이터'!A$2:A$612=A9), 0))"),"도자기")</f>
        <v>도자기</v>
      </c>
      <c r="F9" s="16">
        <f ca="1">IFERROR(__xludf.DUMMYFUNCTION("LARGE(FILTER('데이터'!E$2:E$612, '데이터'!A$2:A$612=$A9), 2)"),0.288248337028824)</f>
        <v>0.28824833702882402</v>
      </c>
      <c r="G9" s="13" t="str">
        <f ca="1">IFERROR(__xludf.DUMMYFUNCTION("INDEX(FILTER('데이터'!B$2:B$612, '데이터'!A$2:A$612=A9), MATCH(LARGE(FILTER('데이터'!E$2:E$612, '데이터'!A$2:A$612=A9), 3), FILTER('데이터'!E$2:E$612, '데이터'!A$2:A$612=A9), 0))"),"제비집")</f>
        <v>제비집</v>
      </c>
      <c r="H9" s="16">
        <f ca="1">IFERROR(__xludf.DUMMYFUNCTION("LARGE(FILTER('데이터'!E$2:E$612, '데이터'!A$2:A$612=$A9), 3)"),0.287037037037037)</f>
        <v>0.28703703703703698</v>
      </c>
      <c r="I9" s="13" t="str">
        <f ca="1">IFERROR(__xludf.DUMMYFUNCTION("INDEX(FILTER('데이터'!B$2:B$612, '데이터'!A$2:A$612=A9), MATCH(LARGE(FILTER('데이터'!E$2:E$612, '데이터'!A$2:A$612=A9), 4), FILTER('데이터'!E$2:E$612, '데이터'!A$2:A$612=A9), 0))"),"향료")</f>
        <v>향료</v>
      </c>
      <c r="J9" s="16">
        <f ca="1">IFERROR(__xludf.DUMMYFUNCTION("LARGE(FILTER('데이터'!E$2:E$612, '데이터'!A$2:A$612=$A9), 4)"),0.273381294964028)</f>
        <v>0.27338129496402802</v>
      </c>
      <c r="K9" s="13" t="str">
        <f ca="1">IFERROR(__xludf.DUMMYFUNCTION("INDEX(FILTER('데이터'!B$2:B$612, '데이터'!A$2:A$612=A9), MATCH(LARGE(FILTER('데이터'!E$2:E$612, '데이터'!A$2:A$612=A9), 5), FILTER('데이터'!E$2:E$612, '데이터'!A$2:A$612=A9), 0))"),"야자")</f>
        <v>야자</v>
      </c>
      <c r="L9" s="16">
        <f ca="1">IFERROR(__xludf.DUMMYFUNCTION("LARGE(FILTER('데이터'!E$2:E$612, '데이터'!A$2:A$612=$A9), 5)"),0.263157894736842)</f>
        <v>0.26315789473684198</v>
      </c>
      <c r="M9" s="2" t="str">
        <f ca="1">IFERROR(__xludf.DUMMYFUNCTION("INDEX(FILTER('데이터'!B$2:B$612, '데이터'!A$2:A$612=A9), MATCH(LARGE(FILTER('데이터'!E$2:E$612, '데이터'!A$2:A$612=A9), 6), FILTER('데이터'!E$2:E$612, '데이터'!A$2:A$612=A9), 0))"),"파인애플")</f>
        <v>파인애플</v>
      </c>
      <c r="N9" s="16">
        <f ca="1">IFERROR(__xludf.DUMMYFUNCTION("LARGE(FILTER('데이터'!E$2:E$612, '데이터'!A$2:A$612=$A9), 6)"),0.241758241758241)</f>
        <v>0.24175824175824101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2" t="s">
        <v>35</v>
      </c>
      <c r="B10" s="13" t="s">
        <v>23</v>
      </c>
      <c r="C10" s="14" t="str">
        <f ca="1">IFERROR(__xludf.DUMMYFUNCTION("INDEX(FILTER('데이터'!B$2:B$612, '데이터'!A$2:A$612=A10), MATCH(LARGE(FILTER('데이터'!E$2:E$612, '데이터'!A$2:A$612=A10), 1), FILTER('데이터'!E$2:E$612, '데이터'!A$2:A$612=A10), 0))"),"상아")</f>
        <v>상아</v>
      </c>
      <c r="D10" s="15">
        <f ca="1">IFERROR(__xludf.DUMMYFUNCTION("LARGE(FILTER('데이터'!E$2:E$612, '데이터'!A$2:A$612=$A10), 1)"),0.33744394618834)</f>
        <v>0.33744394618834</v>
      </c>
      <c r="E10" s="14" t="str">
        <f ca="1">IFERROR(__xludf.DUMMYFUNCTION("INDEX(FILTER('데이터'!B$2:B$612, '데이터'!A$2:A$612=A10), MATCH(LARGE(FILTER('데이터'!E$2:E$612, '데이터'!A$2:A$612=A10), 2), FILTER('데이터'!E$2:E$612, '데이터'!A$2:A$612=A10), 0))"),"녹차")</f>
        <v>녹차</v>
      </c>
      <c r="F10" s="16">
        <f ca="1">IFERROR(__xludf.DUMMYFUNCTION("LARGE(FILTER('데이터'!E$2:E$612, '데이터'!A$2:A$612=$A10), 2)"),0.291891891891891)</f>
        <v>0.29189189189189102</v>
      </c>
      <c r="G10" s="13" t="str">
        <f ca="1">IFERROR(__xludf.DUMMYFUNCTION("INDEX(FILTER('데이터'!B$2:B$612, '데이터'!A$2:A$612=A10), MATCH(LARGE(FILTER('데이터'!E$2:E$612, '데이터'!A$2:A$612=A10), 3), FILTER('데이터'!E$2:E$612, '데이터'!A$2:A$612=A10), 0))"),"야자")</f>
        <v>야자</v>
      </c>
      <c r="H10" s="16">
        <f ca="1">IFERROR(__xludf.DUMMYFUNCTION("LARGE(FILTER('데이터'!E$2:E$612, '데이터'!A$2:A$612=$A10), 3)"),0.25)</f>
        <v>0.25</v>
      </c>
      <c r="I10" s="13" t="str">
        <f ca="1">IFERROR(__xludf.DUMMYFUNCTION("INDEX(FILTER('데이터'!B$2:B$612, '데이터'!A$2:A$612=A10), MATCH(LARGE(FILTER('데이터'!E$2:E$612, '데이터'!A$2:A$612=A10), 4), FILTER('데이터'!E$2:E$612, '데이터'!A$2:A$612=A10), 0))"),"진주")</f>
        <v>진주</v>
      </c>
      <c r="J10" s="16">
        <f ca="1">IFERROR(__xludf.DUMMYFUNCTION("LARGE(FILTER('데이터'!E$2:E$612, '데이터'!A$2:A$612=$A10), 4)"),0.237687366167023)</f>
        <v>0.23768736616702299</v>
      </c>
      <c r="K10" s="13" t="str">
        <f ca="1">IFERROR(__xludf.DUMMYFUNCTION("INDEX(FILTER('데이터'!B$2:B$612, '데이터'!A$2:A$612=A10), MATCH(LARGE(FILTER('데이터'!E$2:E$612, '데이터'!A$2:A$612=A10), 5), FILTER('데이터'!E$2:E$612, '데이터'!A$2:A$612=A10), 0))"),"녹용")</f>
        <v>녹용</v>
      </c>
      <c r="L10" s="16">
        <f ca="1">IFERROR(__xludf.DUMMYFUNCTION("LARGE(FILTER('데이터'!E$2:E$612, '데이터'!A$2:A$612=$A10), 5)"),0.234782608695652)</f>
        <v>0.23478260869565201</v>
      </c>
      <c r="M10" s="2" t="str">
        <f ca="1">IFERROR(__xludf.DUMMYFUNCTION("INDEX(FILTER('데이터'!B$2:B$612, '데이터'!A$2:A$612=A10), MATCH(LARGE(FILTER('데이터'!E$2:E$612, '데이터'!A$2:A$612=A10), 6), FILTER('데이터'!E$2:E$612, '데이터'!A$2:A$612=A10), 0))"),"꽃게")</f>
        <v>꽃게</v>
      </c>
      <c r="N10" s="16">
        <f ca="1">IFERROR(__xludf.DUMMYFUNCTION("LARGE(FILTER('데이터'!E$2:E$612, '데이터'!A$2:A$612=$A10), 6)"),0.196808510638297)</f>
        <v>0.19680851063829699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2" t="s">
        <v>42</v>
      </c>
      <c r="B11" s="13" t="s">
        <v>10</v>
      </c>
      <c r="C11" s="14" t="str">
        <f ca="1">IFERROR(__xludf.DUMMYFUNCTION("INDEX(FILTER('데이터'!B$2:B$612, '데이터'!A$2:A$612=A11), MATCH(LARGE(FILTER('데이터'!E$2:E$612, '데이터'!A$2:A$612=A11), 1), FILTER('데이터'!E$2:E$612, '데이터'!A$2:A$612=A11), 0))"),"파인애플")</f>
        <v>파인애플</v>
      </c>
      <c r="D11" s="15">
        <f ca="1">IFERROR(__xludf.DUMMYFUNCTION("LARGE(FILTER('데이터'!E$2:E$612, '데이터'!A$2:A$612=$A11), 1)"),0.269662921348314)</f>
        <v>0.26966292134831399</v>
      </c>
      <c r="E11" s="14" t="str">
        <f ca="1">IFERROR(__xludf.DUMMYFUNCTION("INDEX(FILTER('데이터'!B$2:B$612, '데이터'!A$2:A$612=A11), MATCH(LARGE(FILTER('데이터'!E$2:E$612, '데이터'!A$2:A$612=A11), 2), FILTER('데이터'!E$2:E$612, '데이터'!A$2:A$612=A11), 0))"),"도자기")</f>
        <v>도자기</v>
      </c>
      <c r="F11" s="16">
        <f ca="1">IFERROR(__xludf.DUMMYFUNCTION("LARGE(FILTER('데이터'!E$2:E$612, '데이터'!A$2:A$612=$A11), 2)"),0.265795206971677)</f>
        <v>0.26579520697167702</v>
      </c>
      <c r="G11" s="13" t="str">
        <f ca="1">IFERROR(__xludf.DUMMYFUNCTION("INDEX(FILTER('데이터'!B$2:B$612, '데이터'!A$2:A$612=A11), MATCH(LARGE(FILTER('데이터'!E$2:E$612, '데이터'!A$2:A$612=A11), 3), FILTER('데이터'!E$2:E$612, '데이터'!A$2:A$612=A11), 0))"),"상아")</f>
        <v>상아</v>
      </c>
      <c r="H11" s="16">
        <f ca="1">IFERROR(__xludf.DUMMYFUNCTION("LARGE(FILTER('데이터'!E$2:E$612, '데이터'!A$2:A$612=$A11), 3)"),0.263771186440678)</f>
        <v>0.26377118644067798</v>
      </c>
      <c r="I11" s="13" t="str">
        <f ca="1">IFERROR(__xludf.DUMMYFUNCTION("INDEX(FILTER('데이터'!B$2:B$612, '데이터'!A$2:A$612=A11), MATCH(LARGE(FILTER('데이터'!E$2:E$612, '데이터'!A$2:A$612=A11), 4), FILTER('데이터'!E$2:E$612, '데이터'!A$2:A$612=A11), 0))"),"비단")</f>
        <v>비단</v>
      </c>
      <c r="J11" s="16">
        <f ca="1">IFERROR(__xludf.DUMMYFUNCTION("LARGE(FILTER('데이터'!E$2:E$612, '데이터'!A$2:A$612=$A11), 4)"),0.239361702127659)</f>
        <v>0.239361702127659</v>
      </c>
      <c r="K11" s="13" t="str">
        <f ca="1">IFERROR(__xludf.DUMMYFUNCTION("INDEX(FILTER('데이터'!B$2:B$612, '데이터'!A$2:A$612=A11), MATCH(LARGE(FILTER('데이터'!E$2:E$612, '데이터'!A$2:A$612=A11), 5), FILTER('데이터'!E$2:E$612, '데이터'!A$2:A$612=A11), 0))"),"백은")</f>
        <v>백은</v>
      </c>
      <c r="L11" s="16">
        <f ca="1">IFERROR(__xludf.DUMMYFUNCTION("LARGE(FILTER('데이터'!E$2:E$612, '데이터'!A$2:A$612=$A11), 5)"),0.224199288256227)</f>
        <v>0.22419928825622701</v>
      </c>
      <c r="M11" s="2" t="str">
        <f ca="1">IFERROR(__xludf.DUMMYFUNCTION("INDEX(FILTER('데이터'!B$2:B$612, '데이터'!A$2:A$612=A11), MATCH(LARGE(FILTER('데이터'!E$2:E$612, '데이터'!A$2:A$612=A11), 6), FILTER('데이터'!E$2:E$612, '데이터'!A$2:A$612=A11), 0))"),"어육")</f>
        <v>어육</v>
      </c>
      <c r="N11" s="16">
        <f ca="1">IFERROR(__xludf.DUMMYFUNCTION("LARGE(FILTER('데이터'!E$2:E$612, '데이터'!A$2:A$612=$A11), 6)"),0.221052631578947)</f>
        <v>0.221052631578947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12" t="s">
        <v>36</v>
      </c>
      <c r="B12" s="13" t="s">
        <v>13</v>
      </c>
      <c r="C12" s="14" t="str">
        <f ca="1">IFERROR(__xludf.DUMMYFUNCTION("INDEX(FILTER('데이터'!B$2:B$612, '데이터'!A$2:A$612=A12), MATCH(LARGE(FILTER('데이터'!E$2:E$612, '데이터'!A$2:A$612=A12), 1), FILTER('데이터'!E$2:E$612, '데이터'!A$2:A$612=A12), 0))"),"꽃게")</f>
        <v>꽃게</v>
      </c>
      <c r="D12" s="15">
        <f ca="1">IFERROR(__xludf.DUMMYFUNCTION("LARGE(FILTER('데이터'!E$2:E$612, '데이터'!A$2:A$612=$A12), 1)"),0.39751552795031)</f>
        <v>0.39751552795030998</v>
      </c>
      <c r="E12" s="14" t="str">
        <f ca="1">IFERROR(__xludf.DUMMYFUNCTION("INDEX(FILTER('데이터'!B$2:B$612, '데이터'!A$2:A$612=A12), MATCH(LARGE(FILTER('데이터'!E$2:E$612, '데이터'!A$2:A$612=A12), 2), FILTER('데이터'!E$2:E$612, '데이터'!A$2:A$612=A12), 0))"),"야자")</f>
        <v>야자</v>
      </c>
      <c r="F12" s="16">
        <f ca="1">IFERROR(__xludf.DUMMYFUNCTION("LARGE(FILTER('데이터'!E$2:E$612, '데이터'!A$2:A$612=$A12), 2)"),0.290322580645161)</f>
        <v>0.29032258064516098</v>
      </c>
      <c r="G12" s="13" t="str">
        <f ca="1">IFERROR(__xludf.DUMMYFUNCTION("INDEX(FILTER('데이터'!B$2:B$612, '데이터'!A$2:A$612=A12), MATCH(LARGE(FILTER('데이터'!E$2:E$612, '데이터'!A$2:A$612=A12), 3), FILTER('데이터'!E$2:E$612, '데이터'!A$2:A$612=A12), 0))"),"상아")</f>
        <v>상아</v>
      </c>
      <c r="H12" s="16">
        <f ca="1">IFERROR(__xludf.DUMMYFUNCTION("LARGE(FILTER('데이터'!E$2:E$612, '데이터'!A$2:A$612=$A12), 3)"),0.267800212539851)</f>
        <v>0.26780021253985098</v>
      </c>
      <c r="I12" s="13" t="str">
        <f ca="1">IFERROR(__xludf.DUMMYFUNCTION("INDEX(FILTER('데이터'!B$2:B$612, '데이터'!A$2:A$612=A12), MATCH(LARGE(FILTER('데이터'!E$2:E$612, '데이터'!A$2:A$612=A12), 4), FILTER('데이터'!E$2:E$612, '데이터'!A$2:A$612=A12), 0))"),"목재")</f>
        <v>목재</v>
      </c>
      <c r="J12" s="16">
        <f ca="1">IFERROR(__xludf.DUMMYFUNCTION("LARGE(FILTER('데이터'!E$2:E$612, '데이터'!A$2:A$612=$A12), 4)"),0.242105263157894)</f>
        <v>0.24210526315789399</v>
      </c>
      <c r="K12" s="13" t="str">
        <f ca="1">IFERROR(__xludf.DUMMYFUNCTION("INDEX(FILTER('데이터'!B$2:B$612, '데이터'!A$2:A$612=A12), MATCH(LARGE(FILTER('데이터'!E$2:E$612, '데이터'!A$2:A$612=A12), 5), FILTER('데이터'!E$2:E$612, '데이터'!A$2:A$612=A12), 0))"),"진주")</f>
        <v>진주</v>
      </c>
      <c r="L12" s="16">
        <f ca="1">IFERROR(__xludf.DUMMYFUNCTION("LARGE(FILTER('데이터'!E$2:E$612, '데이터'!A$2:A$612=$A12), 5)"),0.22198731501057)</f>
        <v>0.22198731501057001</v>
      </c>
      <c r="M12" s="2" t="str">
        <f ca="1">IFERROR(__xludf.DUMMYFUNCTION("INDEX(FILTER('데이터'!B$2:B$612, '데이터'!A$2:A$612=A12), MATCH(LARGE(FILTER('데이터'!E$2:E$612, '데이터'!A$2:A$612=A12), 6), FILTER('데이터'!E$2:E$612, '데이터'!A$2:A$612=A12), 0))"),"백은")</f>
        <v>백은</v>
      </c>
      <c r="N12" s="16">
        <f ca="1">IFERROR(__xludf.DUMMYFUNCTION("LARGE(FILTER('데이터'!E$2:E$612, '데이터'!A$2:A$612=$A12), 6)"),0.215547703180212)</f>
        <v>0.21554770318021199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2" t="s">
        <v>37</v>
      </c>
      <c r="B13" s="13" t="s">
        <v>20</v>
      </c>
      <c r="C13" s="14" t="str">
        <f ca="1">IFERROR(__xludf.DUMMYFUNCTION("INDEX(FILTER('데이터'!B$2:B$612, '데이터'!A$2:A$612=A13), MATCH(LARGE(FILTER('데이터'!E$2:E$612, '데이터'!A$2:A$612=A13), 1), FILTER('데이터'!E$2:E$612, '데이터'!A$2:A$612=A13), 0))"),"술")</f>
        <v>술</v>
      </c>
      <c r="D13" s="15">
        <f ca="1">IFERROR(__xludf.DUMMYFUNCTION("LARGE(FILTER('데이터'!E$2:E$612, '데이터'!A$2:A$612=$A13), 1)"),0.37037037037037)</f>
        <v>0.37037037037037002</v>
      </c>
      <c r="E13" s="14" t="str">
        <f ca="1">IFERROR(__xludf.DUMMYFUNCTION("INDEX(FILTER('데이터'!B$2:B$612, '데이터'!A$2:A$612=A13), MATCH(LARGE(FILTER('데이터'!E$2:E$612, '데이터'!A$2:A$612=A13), 2), FILTER('데이터'!E$2:E$612, '데이터'!A$2:A$612=A13), 0))"),"목재")</f>
        <v>목재</v>
      </c>
      <c r="F13" s="16">
        <f ca="1">IFERROR(__xludf.DUMMYFUNCTION("LARGE(FILTER('데이터'!E$2:E$612, '데이터'!A$2:A$612=$A13), 2)"),0.282608695652173)</f>
        <v>0.282608695652173</v>
      </c>
      <c r="G13" s="13" t="str">
        <f ca="1">IFERROR(__xludf.DUMMYFUNCTION("INDEX(FILTER('데이터'!B$2:B$612, '데이터'!A$2:A$612=A13), MATCH(LARGE(FILTER('데이터'!E$2:E$612, '데이터'!A$2:A$612=A13), 3), FILTER('데이터'!E$2:E$612, '데이터'!A$2:A$612=A13), 0))"),"진주")</f>
        <v>진주</v>
      </c>
      <c r="H13" s="16">
        <f ca="1">IFERROR(__xludf.DUMMYFUNCTION("LARGE(FILTER('데이터'!E$2:E$612, '데이터'!A$2:A$612=$A13), 3)"),0.248380129589632)</f>
        <v>0.24838012958963199</v>
      </c>
      <c r="I13" s="13" t="str">
        <f ca="1">IFERROR(__xludf.DUMMYFUNCTION("INDEX(FILTER('데이터'!B$2:B$612, '데이터'!A$2:A$612=A13), MATCH(LARGE(FILTER('데이터'!E$2:E$612, '데이터'!A$2:A$612=A13), 4), FILTER('데이터'!E$2:E$612, '데이터'!A$2:A$612=A13), 0))"),"야자")</f>
        <v>야자</v>
      </c>
      <c r="J13" s="16">
        <f ca="1">IFERROR(__xludf.DUMMYFUNCTION("LARGE(FILTER('데이터'!E$2:E$612, '데이터'!A$2:A$612=$A13), 4)"),0.237113402061855)</f>
        <v>0.23711340206185499</v>
      </c>
      <c r="K13" s="13" t="str">
        <f ca="1">IFERROR(__xludf.DUMMYFUNCTION("INDEX(FILTER('데이터'!B$2:B$612, '데이터'!A$2:A$612=A13), MATCH(LARGE(FILTER('데이터'!E$2:E$612, '데이터'!A$2:A$612=A13), 5), FILTER('데이터'!E$2:E$612, '데이터'!A$2:A$612=A13), 0))"),"상아")</f>
        <v>상아</v>
      </c>
      <c r="L13" s="16">
        <f ca="1">IFERROR(__xludf.DUMMYFUNCTION("LARGE(FILTER('데이터'!E$2:E$612, '데이터'!A$2:A$612=$A13), 5)"),0.22233606557377)</f>
        <v>0.22233606557377</v>
      </c>
      <c r="M13" s="2" t="str">
        <f ca="1">IFERROR(__xludf.DUMMYFUNCTION("INDEX(FILTER('데이터'!B$2:B$612, '데이터'!A$2:A$612=A13), MATCH(LARGE(FILTER('데이터'!E$2:E$612, '데이터'!A$2:A$612=A13), 6), FILTER('데이터'!E$2:E$612, '데이터'!A$2:A$612=A13), 0))"),"제비집")</f>
        <v>제비집</v>
      </c>
      <c r="N13" s="16">
        <f ca="1">IFERROR(__xludf.DUMMYFUNCTION("LARGE(FILTER('데이터'!E$2:E$612, '데이터'!A$2:A$612=$A13), 6)"),0.185501066098081)</f>
        <v>0.18550106609808101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2" t="s">
        <v>29</v>
      </c>
      <c r="B14" s="13" t="s">
        <v>26</v>
      </c>
      <c r="C14" s="14" t="str">
        <f ca="1">IFERROR(__xludf.DUMMYFUNCTION("INDEX(FILTER('데이터'!B$2:B$612, '데이터'!A$2:A$612=A14), MATCH(LARGE(FILTER('데이터'!E$2:E$612, '데이터'!A$2:A$612=A14), 1), FILTER('데이터'!E$2:E$612, '데이터'!A$2:A$612=A14), 0))"),"어육")</f>
        <v>어육</v>
      </c>
      <c r="D14" s="15">
        <f ca="1">IFERROR(__xludf.DUMMYFUNCTION("LARGE(FILTER('데이터'!E$2:E$612, '데이터'!A$2:A$612=$A14), 1)"),0.432098765432098)</f>
        <v>0.43209876543209802</v>
      </c>
      <c r="E14" s="14" t="str">
        <f ca="1">IFERROR(__xludf.DUMMYFUNCTION("INDEX(FILTER('데이터'!B$2:B$612, '데이터'!A$2:A$612=A14), MATCH(LARGE(FILTER('데이터'!E$2:E$612, '데이터'!A$2:A$612=A14), 2), FILTER('데이터'!E$2:E$612, '데이터'!A$2:A$612=A14), 0))"),"야자")</f>
        <v>야자</v>
      </c>
      <c r="F14" s="16">
        <f ca="1">IFERROR(__xludf.DUMMYFUNCTION("LARGE(FILTER('데이터'!E$2:E$612, '데이터'!A$2:A$612=$A14), 2)"),0.263157894736842)</f>
        <v>0.26315789473684198</v>
      </c>
      <c r="G14" s="13" t="str">
        <f ca="1">IFERROR(__xludf.DUMMYFUNCTION("INDEX(FILTER('데이터'!B$2:B$612, '데이터'!A$2:A$612=A14), MATCH(LARGE(FILTER('데이터'!E$2:E$612, '데이터'!A$2:A$612=A14), 3), FILTER('데이터'!E$2:E$612, '데이터'!A$2:A$612=A14), 0))"),"향료")</f>
        <v>향료</v>
      </c>
      <c r="H14" s="16">
        <f ca="1">IFERROR(__xludf.DUMMYFUNCTION("LARGE(FILTER('데이터'!E$2:E$612, '데이터'!A$2:A$612=$A14), 3)"),0.237762237762237)</f>
        <v>0.23776223776223701</v>
      </c>
      <c r="I14" s="13" t="str">
        <f ca="1">IFERROR(__xludf.DUMMYFUNCTION("INDEX(FILTER('데이터'!B$2:B$612, '데이터'!A$2:A$612=A14), MATCH(LARGE(FILTER('데이터'!E$2:E$612, '데이터'!A$2:A$612=A14), 4), FILTER('데이터'!E$2:E$612, '데이터'!A$2:A$612=A14), 0))"),"철광석")</f>
        <v>철광석</v>
      </c>
      <c r="J14" s="16">
        <f ca="1">IFERROR(__xludf.DUMMYFUNCTION("LARGE(FILTER('데이터'!E$2:E$612, '데이터'!A$2:A$612=$A14), 4)"),0.220994475138121)</f>
        <v>0.22099447513812101</v>
      </c>
      <c r="K14" s="13" t="str">
        <f ca="1">IFERROR(__xludf.DUMMYFUNCTION("INDEX(FILTER('데이터'!B$2:B$612, '데이터'!A$2:A$612=A14), MATCH(LARGE(FILTER('데이터'!E$2:E$612, '데이터'!A$2:A$612=A14), 5), FILTER('데이터'!E$2:E$612, '데이터'!A$2:A$612=A14), 0))"),"꽃게")</f>
        <v>꽃게</v>
      </c>
      <c r="L14" s="16">
        <f ca="1">IFERROR(__xludf.DUMMYFUNCTION("LARGE(FILTER('데이터'!E$2:E$612, '데이터'!A$2:A$612=$A14), 5)"),0.216216216216216)</f>
        <v>0.21621621621621601</v>
      </c>
      <c r="M14" s="2" t="str">
        <f ca="1">IFERROR(__xludf.DUMMYFUNCTION("INDEX(FILTER('데이터'!B$2:B$612, '데이터'!A$2:A$612=A14), MATCH(LARGE(FILTER('데이터'!E$2:E$612, '데이터'!A$2:A$612=A14), 6), FILTER('데이터'!E$2:E$612, '데이터'!A$2:A$612=A14), 0))"),"옥 제품")</f>
        <v>옥 제품</v>
      </c>
      <c r="N14" s="16">
        <f ca="1">IFERROR(__xludf.DUMMYFUNCTION("LARGE(FILTER('데이터'!E$2:E$612, '데이터'!A$2:A$612=$A14), 6)"),0.207885304659498)</f>
        <v>0.207885304659498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2" t="s">
        <v>33</v>
      </c>
      <c r="B15" s="13" t="s">
        <v>19</v>
      </c>
      <c r="C15" s="14" t="str">
        <f ca="1">IFERROR(__xludf.DUMMYFUNCTION("INDEX(FILTER('데이터'!B$2:B$612, '데이터'!A$2:A$612=A15), MATCH(LARGE(FILTER('데이터'!E$2:E$612, '데이터'!A$2:A$612=A15), 1), FILTER('데이터'!E$2:E$612, '데이터'!A$2:A$612=A15), 0))"),"녹차")</f>
        <v>녹차</v>
      </c>
      <c r="D15" s="15">
        <f ca="1">IFERROR(__xludf.DUMMYFUNCTION("LARGE(FILTER('데이터'!E$2:E$612, '데이터'!A$2:A$612=$A15), 1)"),0.284946236559139)</f>
        <v>0.28494623655913898</v>
      </c>
      <c r="E15" s="14" t="str">
        <f ca="1">IFERROR(__xludf.DUMMYFUNCTION("INDEX(FILTER('데이터'!B$2:B$612, '데이터'!A$2:A$612=A15), MATCH(LARGE(FILTER('데이터'!E$2:E$612, '데이터'!A$2:A$612=A15), 2), FILTER('데이터'!E$2:E$612, '데이터'!A$2:A$612=A15), 0))"),"비단")</f>
        <v>비단</v>
      </c>
      <c r="F15" s="16">
        <f ca="1">IFERROR(__xludf.DUMMYFUNCTION("LARGE(FILTER('데이터'!E$2:E$612, '데이터'!A$2:A$612=$A15), 2)"),0.266304347826087)</f>
        <v>0.26630434782608697</v>
      </c>
      <c r="G15" s="13" t="str">
        <f ca="1">IFERROR(__xludf.DUMMYFUNCTION("INDEX(FILTER('데이터'!B$2:B$612, '데이터'!A$2:A$612=A15), MATCH(LARGE(FILTER('데이터'!E$2:E$612, '데이터'!A$2:A$612=A15), 3), FILTER('데이터'!E$2:E$612, '데이터'!A$2:A$612=A15), 0))"),"철광석")</f>
        <v>철광석</v>
      </c>
      <c r="H15" s="16">
        <f ca="1">IFERROR(__xludf.DUMMYFUNCTION("LARGE(FILTER('데이터'!E$2:E$612, '데이터'!A$2:A$612=$A15), 3)"),0.241573033707865)</f>
        <v>0.24157303370786501</v>
      </c>
      <c r="I15" s="13" t="str">
        <f ca="1">IFERROR(__xludf.DUMMYFUNCTION("INDEX(FILTER('데이터'!B$2:B$612, '데이터'!A$2:A$612=A15), MATCH(LARGE(FILTER('데이터'!E$2:E$612, '데이터'!A$2:A$612=A15), 4), FILTER('데이터'!E$2:E$612, '데이터'!A$2:A$612=A15), 0))"),"상아")</f>
        <v>상아</v>
      </c>
      <c r="J15" s="16">
        <f ca="1">IFERROR(__xludf.DUMMYFUNCTION("LARGE(FILTER('데이터'!E$2:E$612, '데이터'!A$2:A$612=$A15), 4)"),0.221084953940634)</f>
        <v>0.22108495394063399</v>
      </c>
      <c r="K15" s="13" t="str">
        <f ca="1">IFERROR(__xludf.DUMMYFUNCTION("INDEX(FILTER('데이터'!B$2:B$612, '데이터'!A$2:A$612=A15), MATCH(LARGE(FILTER('데이터'!E$2:E$612, '데이터'!A$2:A$612=A15), 5), FILTER('데이터'!E$2:E$612, '데이터'!A$2:A$612=A15), 0))"),"꽃게")</f>
        <v>꽃게</v>
      </c>
      <c r="L15" s="16">
        <f ca="1">IFERROR(__xludf.DUMMYFUNCTION("LARGE(FILTER('데이터'!E$2:E$612, '데이터'!A$2:A$612=$A15), 5)"),0.184210526315789)</f>
        <v>0.18421052631578899</v>
      </c>
      <c r="M15" s="2" t="str">
        <f ca="1">IFERROR(__xludf.DUMMYFUNCTION("INDEX(FILTER('데이터'!B$2:B$612, '데이터'!A$2:A$612=A15), MATCH(LARGE(FILTER('데이터'!E$2:E$612, '데이터'!A$2:A$612=A15), 6), FILTER('데이터'!E$2:E$612, '데이터'!A$2:A$612=A15), 0))"),"수정")</f>
        <v>수정</v>
      </c>
      <c r="N15" s="16">
        <f ca="1">IFERROR(__xludf.DUMMYFUNCTION("LARGE(FILTER('데이터'!E$2:E$612, '데이터'!A$2:A$612=$A15), 6)"),0.182795698924731)</f>
        <v>0.18279569892473099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2" t="s">
        <v>41</v>
      </c>
      <c r="B16" s="13" t="s">
        <v>21</v>
      </c>
      <c r="C16" s="14" t="str">
        <f ca="1">IFERROR(__xludf.DUMMYFUNCTION("INDEX(FILTER('데이터'!B$2:B$612, '데이터'!A$2:A$612=A16), MATCH(LARGE(FILTER('데이터'!E$2:E$612, '데이터'!A$2:A$612=A16), 1), FILTER('데이터'!E$2:E$612, '데이터'!A$2:A$612=A16), 0))"),"향료")</f>
        <v>향료</v>
      </c>
      <c r="D16" s="15">
        <f ca="1">IFERROR(__xludf.DUMMYFUNCTION("LARGE(FILTER('데이터'!E$2:E$612, '데이터'!A$2:A$612=$A16), 1)"),0.393700787401574)</f>
        <v>0.39370078740157399</v>
      </c>
      <c r="E16" s="14" t="str">
        <f ca="1">IFERROR(__xludf.DUMMYFUNCTION("INDEX(FILTER('데이터'!B$2:B$612, '데이터'!A$2:A$612=A16), MATCH(LARGE(FILTER('데이터'!E$2:E$612, '데이터'!A$2:A$612=A16), 2), FILTER('데이터'!E$2:E$612, '데이터'!A$2:A$612=A16), 0))"),"목재")</f>
        <v>목재</v>
      </c>
      <c r="F16" s="16">
        <f ca="1">IFERROR(__xludf.DUMMYFUNCTION("LARGE(FILTER('데이터'!E$2:E$612, '데이터'!A$2:A$612=$A16), 2)"),0.282608695652173)</f>
        <v>0.282608695652173</v>
      </c>
      <c r="G16" s="13" t="str">
        <f ca="1">IFERROR(__xludf.DUMMYFUNCTION("INDEX(FILTER('데이터'!B$2:B$612, '데이터'!A$2:A$612=A16), MATCH(LARGE(FILTER('데이터'!E$2:E$612, '데이터'!A$2:A$612=A16), 3), FILTER('데이터'!E$2:E$612, '데이터'!A$2:A$612=A16), 0))"),"상아")</f>
        <v>상아</v>
      </c>
      <c r="H16" s="16">
        <f ca="1">IFERROR(__xludf.DUMMYFUNCTION("LARGE(FILTER('데이터'!E$2:E$612, '데이터'!A$2:A$612=$A16), 3)"),0.267800212539851)</f>
        <v>0.26780021253985098</v>
      </c>
      <c r="I16" s="13" t="str">
        <f ca="1">IFERROR(__xludf.DUMMYFUNCTION("INDEX(FILTER('데이터'!B$2:B$612, '데이터'!A$2:A$612=A16), MATCH(LARGE(FILTER('데이터'!E$2:E$612, '데이터'!A$2:A$612=A16), 4), FILTER('데이터'!E$2:E$612, '데이터'!A$2:A$612=A16), 0))"),"제비집")</f>
        <v>제비집</v>
      </c>
      <c r="J16" s="16">
        <f ca="1">IFERROR(__xludf.DUMMYFUNCTION("LARGE(FILTER('데이터'!E$2:E$612, '데이터'!A$2:A$612=$A16), 4)"),0.200863930885529)</f>
        <v>0.20086393088552901</v>
      </c>
      <c r="K16" s="13" t="str">
        <f ca="1">IFERROR(__xludf.DUMMYFUNCTION("INDEX(FILTER('데이터'!B$2:B$612, '데이터'!A$2:A$612=A16), MATCH(LARGE(FILTER('데이터'!E$2:E$612, '데이터'!A$2:A$612=A16), 5), FILTER('데이터'!E$2:E$612, '데이터'!A$2:A$612=A16), 0))"),"야자")</f>
        <v>야자</v>
      </c>
      <c r="L16" s="16">
        <f ca="1">IFERROR(__xludf.DUMMYFUNCTION("LARGE(FILTER('데이터'!E$2:E$612, '데이터'!A$2:A$612=$A16), 5)"),0.188118811881188)</f>
        <v>0.18811881188118801</v>
      </c>
      <c r="M16" s="2" t="str">
        <f ca="1">IFERROR(__xludf.DUMMYFUNCTION("INDEX(FILTER('데이터'!B$2:B$612, '데이터'!A$2:A$612=A16), MATCH(LARGE(FILTER('데이터'!E$2:E$612, '데이터'!A$2:A$612=A16), 6), FILTER('데이터'!E$2:E$612, '데이터'!A$2:A$612=A16), 0))"),"수정")</f>
        <v>수정</v>
      </c>
      <c r="N16" s="16">
        <f ca="1">IFERROR(__xludf.DUMMYFUNCTION("LARGE(FILTER('데이터'!E$2:E$612, '데이터'!A$2:A$612=$A16), 6)"),0.182795698924731)</f>
        <v>0.18279569892473099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2" t="s">
        <v>38</v>
      </c>
      <c r="B17" s="13" t="s">
        <v>22</v>
      </c>
      <c r="C17" s="14" t="str">
        <f ca="1">IFERROR(__xludf.DUMMYFUNCTION("INDEX(FILTER('데이터'!B$2:B$612, '데이터'!A$2:A$612=A17), MATCH(LARGE(FILTER('데이터'!E$2:E$612, '데이터'!A$2:A$612=A17), 1), FILTER('데이터'!E$2:E$612, '데이터'!A$2:A$612=A17), 0))"),"야자")</f>
        <v>야자</v>
      </c>
      <c r="D17" s="15">
        <f ca="1">IFERROR(__xludf.DUMMYFUNCTION("LARGE(FILTER('데이터'!E$2:E$612, '데이터'!A$2:A$612=$A17), 1)"),0.428571428571428)</f>
        <v>0.42857142857142799</v>
      </c>
      <c r="E17" s="14" t="str">
        <f ca="1">IFERROR(__xludf.DUMMYFUNCTION("INDEX(FILTER('데이터'!B$2:B$612, '데이터'!A$2:A$612=A17), MATCH(LARGE(FILTER('데이터'!E$2:E$612, '데이터'!A$2:A$612=A17), 2), FILTER('데이터'!E$2:E$612, '데이터'!A$2:A$612=A17), 0))"),"상아")</f>
        <v>상아</v>
      </c>
      <c r="F17" s="16">
        <f ca="1">IFERROR(__xludf.DUMMYFUNCTION("LARGE(FILTER('데이터'!E$2:E$612, '데이터'!A$2:A$612=$A17), 2)"),0.265111346765641)</f>
        <v>0.26511134676564102</v>
      </c>
      <c r="G17" s="13" t="str">
        <f ca="1">IFERROR(__xludf.DUMMYFUNCTION("INDEX(FILTER('데이터'!B$2:B$612, '데이터'!A$2:A$612=A17), MATCH(LARGE(FILTER('데이터'!E$2:E$612, '데이터'!A$2:A$612=A17), 3), FILTER('데이터'!E$2:E$612, '데이터'!A$2:A$612=A17), 0))"),"피혁")</f>
        <v>피혁</v>
      </c>
      <c r="H17" s="16">
        <f ca="1">IFERROR(__xludf.DUMMYFUNCTION("LARGE(FILTER('데이터'!E$2:E$612, '데이터'!A$2:A$612=$A17), 3)"),0.241992882562277)</f>
        <v>0.241992882562277</v>
      </c>
      <c r="I17" s="13" t="str">
        <f ca="1">IFERROR(__xludf.DUMMYFUNCTION("INDEX(FILTER('데이터'!B$2:B$612, '데이터'!A$2:A$612=A17), MATCH(LARGE(FILTER('데이터'!E$2:E$612, '데이터'!A$2:A$612=A17), 4), FILTER('데이터'!E$2:E$612, '데이터'!A$2:A$612=A17), 0))"),"진주")</f>
        <v>진주</v>
      </c>
      <c r="J17" s="16">
        <f ca="1">IFERROR(__xludf.DUMMYFUNCTION("LARGE(FILTER('데이터'!E$2:E$612, '데이터'!A$2:A$612=$A17), 4)"),0.209205020920502)</f>
        <v>0.209205020920502</v>
      </c>
      <c r="K17" s="13" t="str">
        <f ca="1">IFERROR(__xludf.DUMMYFUNCTION("INDEX(FILTER('데이터'!B$2:B$612, '데이터'!A$2:A$612=A17), MATCH(LARGE(FILTER('데이터'!E$2:E$612, '데이터'!A$2:A$612=A17), 5), FILTER('데이터'!E$2:E$612, '데이터'!A$2:A$612=A17), 0))"),"향료")</f>
        <v>향료</v>
      </c>
      <c r="L17" s="16">
        <f ca="1">IFERROR(__xludf.DUMMYFUNCTION("LARGE(FILTER('데이터'!E$2:E$612, '데이터'!A$2:A$612=$A17), 5)"),0.208191126279863)</f>
        <v>0.208191126279863</v>
      </c>
      <c r="M17" s="2" t="str">
        <f ca="1">IFERROR(__xludf.DUMMYFUNCTION("INDEX(FILTER('데이터'!B$2:B$612, '데이터'!A$2:A$612=A17), MATCH(LARGE(FILTER('데이터'!E$2:E$612, '데이터'!A$2:A$612=A17), 6), FILTER('데이터'!E$2:E$612, '데이터'!A$2:A$612=A17), 0))"),"목재")</f>
        <v>목재</v>
      </c>
      <c r="N17" s="16">
        <f ca="1">IFERROR(__xludf.DUMMYFUNCTION("LARGE(FILTER('데이터'!E$2:E$612, '데이터'!A$2:A$612=$A17), 6)"),0.204081632653061)</f>
        <v>0.20408163265306101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2" t="s">
        <v>43</v>
      </c>
      <c r="B18" s="13" t="s">
        <v>18</v>
      </c>
      <c r="C18" s="14" t="str">
        <f ca="1">IFERROR(__xludf.DUMMYFUNCTION("INDEX(FILTER('데이터'!B$2:B$612, '데이터'!A$2:A$612=A18), MATCH(LARGE(FILTER('데이터'!E$2:E$612, '데이터'!A$2:A$612=A18), 1), FILTER('데이터'!E$2:E$612, '데이터'!A$2:A$612=A18), 0))"),"수정")</f>
        <v>수정</v>
      </c>
      <c r="D18" s="15">
        <f ca="1">IFERROR(__xludf.DUMMYFUNCTION("LARGE(FILTER('데이터'!E$2:E$612, '데이터'!A$2:A$612=$A18), 1)"),0.366459627329192)</f>
        <v>0.36645962732919202</v>
      </c>
      <c r="E18" s="14" t="str">
        <f ca="1">IFERROR(__xludf.DUMMYFUNCTION("INDEX(FILTER('데이터'!B$2:B$612, '데이터'!A$2:A$612=A18), MATCH(LARGE(FILTER('데이터'!E$2:E$612, '데이터'!A$2:A$612=A18), 2), FILTER('데이터'!E$2:E$612, '데이터'!A$2:A$612=A18), 0))"),"목재")</f>
        <v>목재</v>
      </c>
      <c r="F18" s="16">
        <f ca="1">IFERROR(__xludf.DUMMYFUNCTION("LARGE(FILTER('데이터'!E$2:E$612, '데이터'!A$2:A$612=$A18), 2)"),0.282608695652173)</f>
        <v>0.282608695652173</v>
      </c>
      <c r="G18" s="13" t="str">
        <f ca="1">IFERROR(__xludf.DUMMYFUNCTION("INDEX(FILTER('데이터'!B$2:B$612, '데이터'!A$2:A$612=A18), MATCH(LARGE(FILTER('데이터'!E$2:E$612, '데이터'!A$2:A$612=A18), 3), FILTER('데이터'!E$2:E$612, '데이터'!A$2:A$612=A18), 0))"),"어육")</f>
        <v>어육</v>
      </c>
      <c r="H18" s="16">
        <f ca="1">IFERROR(__xludf.DUMMYFUNCTION("LARGE(FILTER('데이터'!E$2:E$612, '데이터'!A$2:A$612=$A18), 3)"),0.274725274725274)</f>
        <v>0.27472527472527403</v>
      </c>
      <c r="I18" s="13" t="str">
        <f ca="1">IFERROR(__xludf.DUMMYFUNCTION("INDEX(FILTER('데이터'!B$2:B$612, '데이터'!A$2:A$612=A18), MATCH(LARGE(FILTER('데이터'!E$2:E$612, '데이터'!A$2:A$612=A18), 4), FILTER('데이터'!E$2:E$612, '데이터'!A$2:A$612=A18), 0))"),"비단")</f>
        <v>비단</v>
      </c>
      <c r="J18" s="16">
        <f ca="1">IFERROR(__xludf.DUMMYFUNCTION("LARGE(FILTER('데이터'!E$2:E$612, '데이터'!A$2:A$612=$A18), 4)"),0.273224043715847)</f>
        <v>0.27322404371584702</v>
      </c>
      <c r="K18" s="13" t="str">
        <f ca="1">IFERROR(__xludf.DUMMYFUNCTION("INDEX(FILTER('데이터'!B$2:B$612, '데이터'!A$2:A$612=A18), MATCH(LARGE(FILTER('데이터'!E$2:E$612, '데이터'!A$2:A$612=A18), 5), FILTER('데이터'!E$2:E$612, '데이터'!A$2:A$612=A18), 0))"),"백은")</f>
        <v>백은</v>
      </c>
      <c r="L18" s="16">
        <f ca="1">IFERROR(__xludf.DUMMYFUNCTION("LARGE(FILTER('데이터'!E$2:E$612, '데이터'!A$2:A$612=$A18), 5)"),0.264705882352941)</f>
        <v>0.26470588235294101</v>
      </c>
      <c r="M18" s="2" t="str">
        <f ca="1">IFERROR(__xludf.DUMMYFUNCTION("INDEX(FILTER('데이터'!B$2:B$612, '데이터'!A$2:A$612=A18), MATCH(LARGE(FILTER('데이터'!E$2:E$612, '데이터'!A$2:A$612=A18), 6), FILTER('데이터'!E$2:E$612, '데이터'!A$2:A$612=A18), 0))"),"녹차")</f>
        <v>녹차</v>
      </c>
      <c r="N18" s="16">
        <f ca="1">IFERROR(__xludf.DUMMYFUNCTION("LARGE(FILTER('데이터'!E$2:E$612, '데이터'!A$2:A$612=$A18), 6)"),0.231958762886597)</f>
        <v>0.231958762886597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12" t="s">
        <v>28</v>
      </c>
      <c r="B19" s="13" t="s">
        <v>12</v>
      </c>
      <c r="C19" s="14" t="str">
        <f ca="1">IFERROR(__xludf.DUMMYFUNCTION("INDEX(FILTER('데이터'!B$2:B$612, '데이터'!A$2:A$612=A19), MATCH(LARGE(FILTER('데이터'!E$2:E$612, '데이터'!A$2:A$612=A19), 1), FILTER('데이터'!E$2:E$612, '데이터'!A$2:A$612=A19), 0))"),"옥 제품")</f>
        <v>옥 제품</v>
      </c>
      <c r="D19" s="15">
        <f ca="1">IFERROR(__xludf.DUMMYFUNCTION("LARGE(FILTER('데이터'!E$2:E$612, '데이터'!A$2:A$612=$A19), 1)"),0.348)</f>
        <v>0.34799999999999998</v>
      </c>
      <c r="E19" s="14" t="str">
        <f ca="1">IFERROR(__xludf.DUMMYFUNCTION("INDEX(FILTER('데이터'!B$2:B$612, '데이터'!A$2:A$612=A19), MATCH(LARGE(FILTER('데이터'!E$2:E$612, '데이터'!A$2:A$612=A19), 2), FILTER('데이터'!E$2:E$612, '데이터'!A$2:A$612=A19), 0))"),"야자")</f>
        <v>야자</v>
      </c>
      <c r="F19" s="16">
        <f ca="1">IFERROR(__xludf.DUMMYFUNCTION("LARGE(FILTER('데이터'!E$2:E$612, '데이터'!A$2:A$612=$A19), 2)"),0.333333333333333)</f>
        <v>0.33333333333333298</v>
      </c>
      <c r="G19" s="13" t="str">
        <f ca="1">IFERROR(__xludf.DUMMYFUNCTION("INDEX(FILTER('데이터'!B$2:B$612, '데이터'!A$2:A$612=A19), MATCH(LARGE(FILTER('데이터'!E$2:E$612, '데이터'!A$2:A$612=A19), 3), FILTER('데이터'!E$2:E$612, '데이터'!A$2:A$612=A19), 0))"),"어육")</f>
        <v>어육</v>
      </c>
      <c r="H19" s="16">
        <f ca="1">IFERROR(__xludf.DUMMYFUNCTION("LARGE(FILTER('데이터'!E$2:E$612, '데이터'!A$2:A$612=$A19), 3)"),0.274725274725274)</f>
        <v>0.27472527472527403</v>
      </c>
      <c r="I19" s="13" t="str">
        <f ca="1">IFERROR(__xludf.DUMMYFUNCTION("INDEX(FILTER('데이터'!B$2:B$612, '데이터'!A$2:A$612=A19), MATCH(LARGE(FILTER('데이터'!E$2:E$612, '데이터'!A$2:A$612=A19), 4), FILTER('데이터'!E$2:E$612, '데이터'!A$2:A$612=A19), 0))"),"목재")</f>
        <v>목재</v>
      </c>
      <c r="J19" s="16">
        <f ca="1">IFERROR(__xludf.DUMMYFUNCTION("LARGE(FILTER('데이터'!E$2:E$612, '데이터'!A$2:A$612=$A19), 4)"),0.25531914893617)</f>
        <v>0.25531914893617003</v>
      </c>
      <c r="K19" s="13" t="str">
        <f ca="1">IFERROR(__xludf.DUMMYFUNCTION("INDEX(FILTER('데이터'!B$2:B$612, '데이터'!A$2:A$612=A19), MATCH(LARGE(FILTER('데이터'!E$2:E$612, '데이터'!A$2:A$612=A19), 5), FILTER('데이터'!E$2:E$612, '데이터'!A$2:A$612=A19), 0))"),"백은")</f>
        <v>백은</v>
      </c>
      <c r="L19" s="16">
        <f ca="1">IFERROR(__xludf.DUMMYFUNCTION("LARGE(FILTER('데이터'!E$2:E$612, '데이터'!A$2:A$612=$A19), 5)"),0.219858156028368)</f>
        <v>0.219858156028368</v>
      </c>
      <c r="M19" s="2" t="str">
        <f ca="1">IFERROR(__xludf.DUMMYFUNCTION("INDEX(FILTER('데이터'!B$2:B$612, '데이터'!A$2:A$612=A19), MATCH(LARGE(FILTER('데이터'!E$2:E$612, '데이터'!A$2:A$612=A19), 6), FILTER('데이터'!E$2:E$612, '데이터'!A$2:A$612=A19), 0))"),"제비집")</f>
        <v>제비집</v>
      </c>
      <c r="N19" s="16">
        <f ca="1">IFERROR(__xludf.DUMMYFUNCTION("LARGE(FILTER('데이터'!E$2:E$612, '데이터'!A$2:A$612=$A19), 6)"),0.208695652173913)</f>
        <v>0.208695652173913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2" t="s">
        <v>31</v>
      </c>
      <c r="B20" s="13" t="s">
        <v>8</v>
      </c>
      <c r="C20" s="14" t="str">
        <f ca="1">IFERROR(__xludf.DUMMYFUNCTION("INDEX(FILTER('데이터'!B$2:B$612, '데이터'!A$2:A$612=A20), MATCH(LARGE(FILTER('데이터'!E$2:E$612, '데이터'!A$2:A$612=A20), 1), FILTER('데이터'!E$2:E$612, '데이터'!A$2:A$612=A20), 0))"),"피혁")</f>
        <v>피혁</v>
      </c>
      <c r="D20" s="15">
        <f ca="1">IFERROR(__xludf.DUMMYFUNCTION("LARGE(FILTER('데이터'!E$2:E$612, '데이터'!A$2:A$612=$A20), 1)"),0.368627450980392)</f>
        <v>0.36862745098039201</v>
      </c>
      <c r="E20" s="14" t="str">
        <f ca="1">IFERROR(__xludf.DUMMYFUNCTION("INDEX(FILTER('데이터'!B$2:B$612, '데이터'!A$2:A$612=A20), MATCH(LARGE(FILTER('데이터'!E$2:E$612, '데이터'!A$2:A$612=A20), 2), FILTER('데이터'!E$2:E$612, '데이터'!A$2:A$612=A20), 0))"),"비단")</f>
        <v>비단</v>
      </c>
      <c r="F20" s="16">
        <f ca="1">IFERROR(__xludf.DUMMYFUNCTION("LARGE(FILTER('데이터'!E$2:E$612, '데이터'!A$2:A$612=$A20), 2)"),0.273224043715847)</f>
        <v>0.27322404371584702</v>
      </c>
      <c r="G20" s="13" t="str">
        <f ca="1">IFERROR(__xludf.DUMMYFUNCTION("INDEX(FILTER('데이터'!B$2:B$612, '데이터'!A$2:A$612=A20), MATCH(LARGE(FILTER('데이터'!E$2:E$612, '데이터'!A$2:A$612=A20), 3), FILTER('데이터'!E$2:E$612, '데이터'!A$2:A$612=A20), 0))"),"어육")</f>
        <v>어육</v>
      </c>
      <c r="H20" s="16">
        <f ca="1">IFERROR(__xludf.DUMMYFUNCTION("LARGE(FILTER('데이터'!E$2:E$612, '데이터'!A$2:A$612=$A20), 3)"),0.247311827956989)</f>
        <v>0.247311827956989</v>
      </c>
      <c r="I20" s="13" t="str">
        <f ca="1">IFERROR(__xludf.DUMMYFUNCTION("INDEX(FILTER('데이터'!B$2:B$612, '데이터'!A$2:A$612=A20), MATCH(LARGE(FILTER('데이터'!E$2:E$612, '데이터'!A$2:A$612=A20), 4), FILTER('데이터'!E$2:E$612, '데이터'!A$2:A$612=A20), 0))"),"도자기")</f>
        <v>도자기</v>
      </c>
      <c r="J20" s="16">
        <f ca="1">IFERROR(__xludf.DUMMYFUNCTION("LARGE(FILTER('데이터'!E$2:E$612, '데이터'!A$2:A$612=$A20), 4)"),0.233545647558386)</f>
        <v>0.233545647558386</v>
      </c>
      <c r="K20" s="13" t="str">
        <f ca="1">IFERROR(__xludf.DUMMYFUNCTION("INDEX(FILTER('데이터'!B$2:B$612, '데이터'!A$2:A$612=A20), MATCH(LARGE(FILTER('데이터'!E$2:E$612, '데이터'!A$2:A$612=A20), 5), FILTER('데이터'!E$2:E$612, '데이터'!A$2:A$612=A20), 0))"),"목재")</f>
        <v>목재</v>
      </c>
      <c r="L20" s="16">
        <f ca="1">IFERROR(__xludf.DUMMYFUNCTION("LARGE(FILTER('데이터'!E$2:E$612, '데이터'!A$2:A$612=$A20), 5)"),0.216494845360824)</f>
        <v>0.216494845360824</v>
      </c>
      <c r="M20" s="2" t="str">
        <f ca="1">IFERROR(__xludf.DUMMYFUNCTION("INDEX(FILTER('데이터'!B$2:B$612, '데이터'!A$2:A$612=A20), MATCH(LARGE(FILTER('데이터'!E$2:E$612, '데이터'!A$2:A$612=A20), 6), FILTER('데이터'!E$2:E$612, '데이터'!A$2:A$612=A20), 0))"),"벼")</f>
        <v>벼</v>
      </c>
      <c r="N20" s="16">
        <f ca="1">IFERROR(__xludf.DUMMYFUNCTION("LARGE(FILTER('데이터'!E$2:E$612, '데이터'!A$2:A$612=$A20), 6)"),0.21505376344086)</f>
        <v>0.21505376344086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7" t="s">
        <v>32</v>
      </c>
      <c r="B21" s="18" t="s">
        <v>16</v>
      </c>
      <c r="C21" s="19" t="str">
        <f ca="1">IFERROR(__xludf.DUMMYFUNCTION("INDEX(FILTER('데이터'!B$2:B$612, '데이터'!A$2:A$612=A21), MATCH(LARGE(FILTER('데이터'!E$2:E$612, '데이터'!A$2:A$612=A21), 1), FILTER('데이터'!E$2:E$612, '데이터'!A$2:A$612=A21), 0))"),"백은")</f>
        <v>백은</v>
      </c>
      <c r="D21" s="20">
        <f ca="1">IFERROR(__xludf.DUMMYFUNCTION("LARGE(FILTER('데이터'!E$2:E$612, '데이터'!A$2:A$612=$A21), 1)"),0.404081632653061)</f>
        <v>0.40408163265306102</v>
      </c>
      <c r="E21" s="19" t="str">
        <f ca="1">IFERROR(__xludf.DUMMYFUNCTION("INDEX(FILTER('데이터'!B$2:B$612, '데이터'!A$2:A$612=A21), MATCH(LARGE(FILTER('데이터'!E$2:E$612, '데이터'!A$2:A$612=A21), 2), FILTER('데이터'!E$2:E$612, '데이터'!A$2:A$612=A21), 0))"),"야자")</f>
        <v>야자</v>
      </c>
      <c r="F21" s="21">
        <f ca="1">IFERROR(__xludf.DUMMYFUNCTION("LARGE(FILTER('데이터'!E$2:E$612, '데이터'!A$2:A$612=$A21), 2)"),0.304347826086956)</f>
        <v>0.30434782608695599</v>
      </c>
      <c r="G21" s="18" t="str">
        <f ca="1">IFERROR(__xludf.DUMMYFUNCTION("INDEX(FILTER('데이터'!B$2:B$612, '데이터'!A$2:A$612=A21), MATCH(LARGE(FILTER('데이터'!E$2:E$612, '데이터'!A$2:A$612=A21), 3), FILTER('데이터'!E$2:E$612, '데이터'!A$2:A$612=A21), 0))"),"도자기")</f>
        <v>도자기</v>
      </c>
      <c r="H21" s="21">
        <f ca="1">IFERROR(__xludf.DUMMYFUNCTION("LARGE(FILTER('데이터'!E$2:E$612, '데이터'!A$2:A$612=$A21), 3)"),0.268558951965065)</f>
        <v>0.26855895196506502</v>
      </c>
      <c r="I21" s="18" t="str">
        <f ca="1">IFERROR(__xludf.DUMMYFUNCTION("INDEX(FILTER('데이터'!B$2:B$612, '데이터'!A$2:A$612=A21), MATCH(LARGE(FILTER('데이터'!E$2:E$612, '데이터'!A$2:A$612=A21), 4), FILTER('데이터'!E$2:E$612, '데이터'!A$2:A$612=A21), 0))"),"비단")</f>
        <v>비단</v>
      </c>
      <c r="J21" s="21">
        <f ca="1">IFERROR(__xludf.DUMMYFUNCTION("LARGE(FILTER('데이터'!E$2:E$612, '데이터'!A$2:A$612=$A21), 4)"),0.245989304812834)</f>
        <v>0.24598930481283399</v>
      </c>
      <c r="K21" s="18" t="str">
        <f ca="1">IFERROR(__xludf.DUMMYFUNCTION("INDEX(FILTER('데이터'!B$2:B$612, '데이터'!A$2:A$612=A21), MATCH(LARGE(FILTER('데이터'!E$2:E$612, '데이터'!A$2:A$612=A21), 5), FILTER('데이터'!E$2:E$612, '데이터'!A$2:A$612=A21), 0))"),"녹용")</f>
        <v>녹용</v>
      </c>
      <c r="L21" s="21">
        <f ca="1">IFERROR(__xludf.DUMMYFUNCTION("LARGE(FILTER('데이터'!E$2:E$612, '데이터'!A$2:A$612=$A21), 5)"),0.213675213675213)</f>
        <v>0.213675213675213</v>
      </c>
      <c r="M21" s="22" t="str">
        <f ca="1">IFERROR(__xludf.DUMMYFUNCTION("INDEX(FILTER('데이터'!B$2:B$612, '데이터'!A$2:A$612=A21), MATCH(LARGE(FILTER('데이터'!E$2:E$612, '데이터'!A$2:A$612=A21), 6), FILTER('데이터'!E$2:E$612, '데이터'!A$2:A$612=A21), 0))"),"어육")</f>
        <v>어육</v>
      </c>
      <c r="N21" s="21">
        <f ca="1">IFERROR(__xludf.DUMMYFUNCTION("LARGE(FILTER('데이터'!E$2:E$612, '데이터'!A$2:A$612=$A21), 6)"),0.208333333333333)</f>
        <v>0.20833333333333301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위대한 항로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office_dev1_art2</cp:lastModifiedBy>
  <dcterms:modified xsi:type="dcterms:W3CDTF">2026-04-20T06:48:35Z</dcterms:modified>
</cp:coreProperties>
</file>